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명세표" sheetId="1" state="visible" r:id="rId1"/>
    <sheet name="코드매핑" sheetId="2" state="visible" r:id="rId2"/>
  </sheets>
  <definedNames>
    <definedName name="_xlnm.Print_Area" localSheetId="0">'거래명세표'!$A$1:$I$73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8"/>
    </font>
    <font>
      <name val="맑은 고딕"/>
      <sz val="9"/>
    </font>
    <font>
      <name val="맑은 고딕"/>
      <b val="1"/>
      <sz val="13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5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workbookViewId="0">
      <selection activeCell="A1" sqref="A1"/>
    </sheetView>
  </sheetViews>
  <sheetFormatPr baseColWidth="8" defaultRowHeight="15"/>
  <cols>
    <col width="4.5" customWidth="1" min="1" max="1"/>
    <col width="17" customWidth="1" min="2" max="2"/>
    <col width="12" customWidth="1" min="3" max="3"/>
    <col width="17" customWidth="1" min="4" max="4"/>
    <col width="7" customWidth="1" min="5" max="5"/>
    <col width="5.5" customWidth="1" min="6" max="6"/>
    <col width="11" customWidth="1" min="7" max="7"/>
    <col width="13" customWidth="1" min="8" max="8"/>
    <col width="13" customWidth="1" min="9" max="9"/>
  </cols>
  <sheetData>
    <row r="1" ht="35" customHeight="1">
      <c r="A1" s="1" t="inlineStr">
        <is>
          <t>거 래 명 세 표 (공급자용)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날짜:                    년      월      일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4" t="inlineStr">
        <is>
          <t>공
급
받
는
자</t>
        </is>
      </c>
      <c r="B3" s="5" t="inlineStr">
        <is>
          <t>등록번호: 603-81-70100</t>
        </is>
      </c>
      <c r="C3" s="2" t="n"/>
      <c r="D3" s="2" t="n"/>
      <c r="E3" s="4" t="inlineStr">
        <is>
          <t>공
급
자</t>
        </is>
      </c>
      <c r="F3" s="5" t="inlineStr">
        <is>
          <t>등록번호: 605-81-10092</t>
        </is>
      </c>
      <c r="G3" s="2" t="n"/>
      <c r="H3" s="2" t="n"/>
      <c r="I3" s="2" t="n"/>
    </row>
    <row r="4" ht="20" customHeight="1">
      <c r="A4" s="2" t="n"/>
      <c r="B4" s="5" t="inlineStr">
        <is>
          <t>상호: ㈜제일피엠씨</t>
        </is>
      </c>
      <c r="C4" s="5" t="inlineStr">
        <is>
          <t>성명:</t>
        </is>
      </c>
      <c r="D4" s="2" t="n"/>
      <c r="E4" s="2" t="n"/>
      <c r="F4" s="5" t="inlineStr">
        <is>
          <t>상호: ㈜동명베아링</t>
        </is>
      </c>
      <c r="G4" s="2" t="n"/>
      <c r="H4" s="5" t="inlineStr">
        <is>
          <t>성명:          (인)</t>
        </is>
      </c>
      <c r="I4" s="2" t="n"/>
    </row>
    <row r="5" ht="20" customHeight="1">
      <c r="A5" s="2" t="n"/>
      <c r="B5" s="6" t="inlineStr">
        <is>
          <t>주소: 경남 창원시 성산구 창원대로 885</t>
        </is>
      </c>
      <c r="C5" s="2" t="n"/>
      <c r="D5" s="2" t="n"/>
      <c r="E5" s="2" t="n"/>
      <c r="F5" s="6" t="inlineStr">
        <is>
          <t>주소: 경남 창원시 의창구 중앙대로 183</t>
        </is>
      </c>
      <c r="G5" s="2" t="n"/>
      <c r="H5" s="2" t="n"/>
      <c r="I5" s="2" t="n"/>
    </row>
    <row r="6" ht="20" customHeight="1">
      <c r="A6" s="2" t="n"/>
      <c r="B6" s="5" t="inlineStr">
        <is>
          <t>업태: 제조업</t>
        </is>
      </c>
      <c r="C6" s="2" t="n"/>
      <c r="D6" s="2" t="n"/>
      <c r="E6" s="2" t="n"/>
      <c r="F6" s="5" t="inlineStr">
        <is>
          <t>업태: 도소매업</t>
        </is>
      </c>
      <c r="G6" s="2" t="n"/>
      <c r="H6" s="2" t="n"/>
      <c r="I6" s="2" t="n"/>
    </row>
    <row r="7" ht="20" customHeight="1">
      <c r="A7" s="2" t="n"/>
      <c r="B7" s="5" t="inlineStr">
        <is>
          <t>종목: 산업기계 부품</t>
        </is>
      </c>
      <c r="C7" s="2" t="n"/>
      <c r="D7" s="2" t="n"/>
      <c r="E7" s="2" t="n"/>
      <c r="F7" s="5" t="inlineStr">
        <is>
          <t>종목: 베어링, 산업용품</t>
        </is>
      </c>
      <c r="G7" s="2" t="n"/>
      <c r="H7" s="2" t="n"/>
      <c r="I7" s="2" t="n"/>
    </row>
    <row r="8" ht="25" customHeight="1">
      <c r="A8" s="7" t="inlineStr">
        <is>
          <t>NO</t>
        </is>
      </c>
      <c r="B8" s="7" t="inlineStr">
        <is>
          <t>코드번호</t>
        </is>
      </c>
      <c r="C8" s="7" t="inlineStr">
        <is>
          <t>품명</t>
        </is>
      </c>
      <c r="D8" s="7" t="inlineStr">
        <is>
          <t>규격</t>
        </is>
      </c>
      <c r="E8" s="7" t="inlineStr">
        <is>
          <t>수량</t>
        </is>
      </c>
      <c r="F8" s="7" t="inlineStr">
        <is>
          <t>단위</t>
        </is>
      </c>
      <c r="G8" s="7" t="inlineStr">
        <is>
          <t>단가</t>
        </is>
      </c>
      <c r="H8" s="7" t="inlineStr">
        <is>
          <t>공급가액</t>
        </is>
      </c>
      <c r="I8" s="7" t="inlineStr">
        <is>
          <t>비고</t>
        </is>
      </c>
    </row>
    <row r="9" ht="22" customHeight="1">
      <c r="A9" s="8" t="n">
        <v>1</v>
      </c>
      <c r="B9" s="9" t="n"/>
      <c r="C9" s="8">
        <f>IFERROR(VLOOKUP(B9,코드매핑!$A:$E,2,FALSE),"")</f>
        <v/>
      </c>
      <c r="D9" s="8">
        <f>IFERROR(VLOOKUP(B9,코드매핑!$A:$E,3,FALSE),"")</f>
        <v/>
      </c>
      <c r="E9" s="9" t="n"/>
      <c r="F9" s="8">
        <f>IF(B9="","","EA")</f>
        <v/>
      </c>
      <c r="G9" s="10">
        <f>IFERROR(VLOOKUP(B9,코드매핑!$A:$E,4,FALSE),"")</f>
        <v/>
      </c>
      <c r="H9" s="10">
        <f>IF(AND(E9&lt;&gt;"",G9&lt;&gt;""),E9*G9,"")</f>
        <v/>
      </c>
      <c r="I9" s="8">
        <f>IFERROR(VLOOKUP(B9,코드매핑!$A:$E,5,FALSE),"")</f>
        <v/>
      </c>
    </row>
    <row r="10" ht="22" customHeight="1">
      <c r="A10" s="8" t="n">
        <v>2</v>
      </c>
      <c r="B10" s="9" t="n"/>
      <c r="C10" s="8">
        <f>IFERROR(VLOOKUP(B10,코드매핑!$A:$E,2,FALSE),"")</f>
        <v/>
      </c>
      <c r="D10" s="8">
        <f>IFERROR(VLOOKUP(B10,코드매핑!$A:$E,3,FALSE),"")</f>
        <v/>
      </c>
      <c r="E10" s="9" t="n"/>
      <c r="F10" s="8">
        <f>IF(B10="","","EA")</f>
        <v/>
      </c>
      <c r="G10" s="10">
        <f>IFERROR(VLOOKUP(B10,코드매핑!$A:$E,4,FALSE),"")</f>
        <v/>
      </c>
      <c r="H10" s="10">
        <f>IF(AND(E10&lt;&gt;"",G10&lt;&gt;""),E10*G10,"")</f>
        <v/>
      </c>
      <c r="I10" s="8">
        <f>IFERROR(VLOOKUP(B10,코드매핑!$A:$E,5,FALSE),"")</f>
        <v/>
      </c>
    </row>
    <row r="11" ht="22" customHeight="1">
      <c r="A11" s="8" t="n">
        <v>3</v>
      </c>
      <c r="B11" s="9" t="n"/>
      <c r="C11" s="8">
        <f>IFERROR(VLOOKUP(B11,코드매핑!$A:$E,2,FALSE),"")</f>
        <v/>
      </c>
      <c r="D11" s="8">
        <f>IFERROR(VLOOKUP(B11,코드매핑!$A:$E,3,FALSE),"")</f>
        <v/>
      </c>
      <c r="E11" s="9" t="n"/>
      <c r="F11" s="8">
        <f>IF(B11="","","EA")</f>
        <v/>
      </c>
      <c r="G11" s="10">
        <f>IFERROR(VLOOKUP(B11,코드매핑!$A:$E,4,FALSE),"")</f>
        <v/>
      </c>
      <c r="H11" s="10">
        <f>IF(AND(E11&lt;&gt;"",G11&lt;&gt;""),E11*G11,"")</f>
        <v/>
      </c>
      <c r="I11" s="8">
        <f>IFERROR(VLOOKUP(B11,코드매핑!$A:$E,5,FALSE),"")</f>
        <v/>
      </c>
    </row>
    <row r="12" ht="22" customHeight="1">
      <c r="A12" s="8" t="n">
        <v>4</v>
      </c>
      <c r="B12" s="9" t="n"/>
      <c r="C12" s="8">
        <f>IFERROR(VLOOKUP(B12,코드매핑!$A:$E,2,FALSE),"")</f>
        <v/>
      </c>
      <c r="D12" s="8">
        <f>IFERROR(VLOOKUP(B12,코드매핑!$A:$E,3,FALSE),"")</f>
        <v/>
      </c>
      <c r="E12" s="9" t="n"/>
      <c r="F12" s="8">
        <f>IF(B12="","","EA")</f>
        <v/>
      </c>
      <c r="G12" s="10">
        <f>IFERROR(VLOOKUP(B12,코드매핑!$A:$E,4,FALSE),"")</f>
        <v/>
      </c>
      <c r="H12" s="10">
        <f>IF(AND(E12&lt;&gt;"",G12&lt;&gt;""),E12*G12,"")</f>
        <v/>
      </c>
      <c r="I12" s="8">
        <f>IFERROR(VLOOKUP(B12,코드매핑!$A:$E,5,FALSE),"")</f>
        <v/>
      </c>
    </row>
    <row r="13" ht="22" customHeight="1">
      <c r="A13" s="8" t="n">
        <v>5</v>
      </c>
      <c r="B13" s="9" t="n"/>
      <c r="C13" s="8">
        <f>IFERROR(VLOOKUP(B13,코드매핑!$A:$E,2,FALSE),"")</f>
        <v/>
      </c>
      <c r="D13" s="8">
        <f>IFERROR(VLOOKUP(B13,코드매핑!$A:$E,3,FALSE),"")</f>
        <v/>
      </c>
      <c r="E13" s="9" t="n"/>
      <c r="F13" s="8">
        <f>IF(B13="","","EA")</f>
        <v/>
      </c>
      <c r="G13" s="10">
        <f>IFERROR(VLOOKUP(B13,코드매핑!$A:$E,4,FALSE),"")</f>
        <v/>
      </c>
      <c r="H13" s="10">
        <f>IF(AND(E13&lt;&gt;"",G13&lt;&gt;""),E13*G13,"")</f>
        <v/>
      </c>
      <c r="I13" s="8">
        <f>IFERROR(VLOOKUP(B13,코드매핑!$A:$E,5,FALSE),"")</f>
        <v/>
      </c>
    </row>
    <row r="14" ht="22" customHeight="1">
      <c r="A14" s="8" t="n">
        <v>6</v>
      </c>
      <c r="B14" s="9" t="n"/>
      <c r="C14" s="8">
        <f>IFERROR(VLOOKUP(B14,코드매핑!$A:$E,2,FALSE),"")</f>
        <v/>
      </c>
      <c r="D14" s="8">
        <f>IFERROR(VLOOKUP(B14,코드매핑!$A:$E,3,FALSE),"")</f>
        <v/>
      </c>
      <c r="E14" s="9" t="n"/>
      <c r="F14" s="8">
        <f>IF(B14="","","EA")</f>
        <v/>
      </c>
      <c r="G14" s="10">
        <f>IFERROR(VLOOKUP(B14,코드매핑!$A:$E,4,FALSE),"")</f>
        <v/>
      </c>
      <c r="H14" s="10">
        <f>IF(AND(E14&lt;&gt;"",G14&lt;&gt;""),E14*G14,"")</f>
        <v/>
      </c>
      <c r="I14" s="8">
        <f>IFERROR(VLOOKUP(B14,코드매핑!$A:$E,5,FALSE),"")</f>
        <v/>
      </c>
    </row>
    <row r="15" ht="22" customHeight="1">
      <c r="A15" s="8" t="n">
        <v>7</v>
      </c>
      <c r="B15" s="9" t="n"/>
      <c r="C15" s="8">
        <f>IFERROR(VLOOKUP(B15,코드매핑!$A:$E,2,FALSE),"")</f>
        <v/>
      </c>
      <c r="D15" s="8">
        <f>IFERROR(VLOOKUP(B15,코드매핑!$A:$E,3,FALSE),"")</f>
        <v/>
      </c>
      <c r="E15" s="9" t="n"/>
      <c r="F15" s="8">
        <f>IF(B15="","","EA")</f>
        <v/>
      </c>
      <c r="G15" s="10">
        <f>IFERROR(VLOOKUP(B15,코드매핑!$A:$E,4,FALSE),"")</f>
        <v/>
      </c>
      <c r="H15" s="10">
        <f>IF(AND(E15&lt;&gt;"",G15&lt;&gt;""),E15*G15,"")</f>
        <v/>
      </c>
      <c r="I15" s="8">
        <f>IFERROR(VLOOKUP(B15,코드매핑!$A:$E,5,FALSE),"")</f>
        <v/>
      </c>
    </row>
    <row r="16" ht="22" customHeight="1">
      <c r="A16" s="8" t="n">
        <v>8</v>
      </c>
      <c r="B16" s="9" t="n"/>
      <c r="C16" s="8">
        <f>IFERROR(VLOOKUP(B16,코드매핑!$A:$E,2,FALSE),"")</f>
        <v/>
      </c>
      <c r="D16" s="8">
        <f>IFERROR(VLOOKUP(B16,코드매핑!$A:$E,3,FALSE),"")</f>
        <v/>
      </c>
      <c r="E16" s="9" t="n"/>
      <c r="F16" s="8">
        <f>IF(B16="","","EA")</f>
        <v/>
      </c>
      <c r="G16" s="10">
        <f>IFERROR(VLOOKUP(B16,코드매핑!$A:$E,4,FALSE),"")</f>
        <v/>
      </c>
      <c r="H16" s="10">
        <f>IF(AND(E16&lt;&gt;"",G16&lt;&gt;""),E16*G16,"")</f>
        <v/>
      </c>
      <c r="I16" s="8">
        <f>IFERROR(VLOOKUP(B16,코드매핑!$A:$E,5,FALSE),"")</f>
        <v/>
      </c>
    </row>
    <row r="17" ht="22" customHeight="1">
      <c r="A17" s="8" t="n">
        <v>9</v>
      </c>
      <c r="B17" s="9" t="n"/>
      <c r="C17" s="8">
        <f>IFERROR(VLOOKUP(B17,코드매핑!$A:$E,2,FALSE),"")</f>
        <v/>
      </c>
      <c r="D17" s="8">
        <f>IFERROR(VLOOKUP(B17,코드매핑!$A:$E,3,FALSE),"")</f>
        <v/>
      </c>
      <c r="E17" s="9" t="n"/>
      <c r="F17" s="8">
        <f>IF(B17="","","EA")</f>
        <v/>
      </c>
      <c r="G17" s="10">
        <f>IFERROR(VLOOKUP(B17,코드매핑!$A:$E,4,FALSE),"")</f>
        <v/>
      </c>
      <c r="H17" s="10">
        <f>IF(AND(E17&lt;&gt;"",G17&lt;&gt;""),E17*G17,"")</f>
        <v/>
      </c>
      <c r="I17" s="8">
        <f>IFERROR(VLOOKUP(B17,코드매핑!$A:$E,5,FALSE),"")</f>
        <v/>
      </c>
    </row>
    <row r="18" ht="25" customHeight="1">
      <c r="A18" s="11" t="inlineStr">
        <is>
          <t>공급가액 합계</t>
        </is>
      </c>
      <c r="B18" s="12" t="n"/>
      <c r="C18" s="12" t="n"/>
      <c r="D18" s="12" t="n"/>
      <c r="E18" s="12" t="n"/>
      <c r="F18" s="12" t="n"/>
      <c r="G18" s="12" t="n"/>
      <c r="H18" s="13">
        <f>SUM(H9:H17)</f>
        <v/>
      </c>
      <c r="I18" s="14" t="inlineStr"/>
    </row>
    <row r="19" ht="25" customHeight="1">
      <c r="A19" s="4" t="inlineStr">
        <is>
          <t>세액 (10%)</t>
        </is>
      </c>
      <c r="B19" s="2" t="n"/>
      <c r="C19" s="2" t="n"/>
      <c r="D19" s="2" t="n"/>
      <c r="E19" s="2" t="n"/>
      <c r="F19" s="2" t="n"/>
      <c r="G19" s="2" t="n"/>
      <c r="H19" s="15">
        <f>IF(H18=0,"",INT(H18*0.1))</f>
        <v/>
      </c>
      <c r="I19" s="8" t="inlineStr"/>
    </row>
    <row r="20" ht="28" customHeight="1">
      <c r="A20" s="16" t="inlineStr">
        <is>
          <t>합 계 (원정)</t>
        </is>
      </c>
      <c r="B20" s="17" t="n"/>
      <c r="C20" s="17" t="n"/>
      <c r="D20" s="17" t="n"/>
      <c r="E20" s="17" t="n"/>
      <c r="F20" s="17" t="n"/>
      <c r="G20" s="17" t="n"/>
      <c r="H20" s="18">
        <f>IF(H18=0,"",H18+H19)</f>
        <v/>
      </c>
      <c r="I20" s="19" t="inlineStr"/>
    </row>
    <row r="22" ht="20" customHeight="1">
      <c r="A22" s="20" t="inlineStr">
        <is>
          <t>인수자:                    (인)</t>
        </is>
      </c>
      <c r="B22" s="21" t="n"/>
      <c r="C22" s="21" t="n"/>
      <c r="D22" s="21" t="n"/>
      <c r="E22" s="21" t="n"/>
      <c r="F22" s="20" t="inlineStr">
        <is>
          <t>품질관리:                  (인)</t>
        </is>
      </c>
      <c r="G22" s="21" t="n"/>
      <c r="H22" s="21" t="n"/>
      <c r="I22" s="21" t="n"/>
    </row>
    <row r="23" ht="20" customHeight="1">
      <c r="A23" s="20" t="inlineStr">
        <is>
          <t>인수일자:      년    월    일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</row>
    <row r="26" ht="35" customHeight="1">
      <c r="A26" s="1" t="inlineStr">
        <is>
          <t>거 래 명 세 표 (공급받는자용)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2" customHeight="1">
      <c r="A27" s="22">
        <f>IF(A2="","",A2)</f>
        <v/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0" customHeight="1">
      <c r="A28" s="4">
        <f>IF(A3="","",A3)</f>
        <v/>
      </c>
      <c r="B28" s="5">
        <f>IF(B3="","",B3)</f>
        <v/>
      </c>
      <c r="C28" s="2" t="n"/>
      <c r="D28" s="2" t="n"/>
      <c r="E28" s="4">
        <f>IF(E3="","",E3)</f>
        <v/>
      </c>
      <c r="F28" s="5">
        <f>IF(F3="","",F3)</f>
        <v/>
      </c>
      <c r="G28" s="2" t="n"/>
      <c r="H28" s="2" t="n"/>
      <c r="I28" s="2" t="n"/>
    </row>
    <row r="29" ht="20" customHeight="1">
      <c r="A29" s="2" t="n"/>
      <c r="B29" s="5">
        <f>IF(B4="","",B4)</f>
        <v/>
      </c>
      <c r="C29" s="5">
        <f>IF(C4="","",C4)</f>
        <v/>
      </c>
      <c r="D29" s="2" t="n"/>
      <c r="E29" s="2" t="n"/>
      <c r="F29" s="5">
        <f>IF(F4="","",F4)</f>
        <v/>
      </c>
      <c r="G29" s="2" t="n"/>
      <c r="H29" s="5">
        <f>IF(H4="","",H4)</f>
        <v/>
      </c>
      <c r="I29" s="2" t="n"/>
    </row>
    <row r="30" ht="20" customHeight="1">
      <c r="A30" s="2" t="n"/>
      <c r="B30" s="6">
        <f>IF(B5="","",B5)</f>
        <v/>
      </c>
      <c r="C30" s="2" t="n"/>
      <c r="D30" s="2" t="n"/>
      <c r="E30" s="2" t="n"/>
      <c r="F30" s="6">
        <f>IF(F5="","",F5)</f>
        <v/>
      </c>
      <c r="G30" s="2" t="n"/>
      <c r="H30" s="2" t="n"/>
      <c r="I30" s="2" t="n"/>
    </row>
    <row r="31" ht="20" customHeight="1">
      <c r="A31" s="2" t="n"/>
      <c r="B31" s="5">
        <f>IF(B6="","",B6)</f>
        <v/>
      </c>
      <c r="C31" s="2" t="n"/>
      <c r="D31" s="2" t="n"/>
      <c r="E31" s="2" t="n"/>
      <c r="F31" s="5">
        <f>IF(F6="","",F6)</f>
        <v/>
      </c>
      <c r="G31" s="2" t="n"/>
      <c r="H31" s="2" t="n"/>
      <c r="I31" s="2" t="n"/>
    </row>
    <row r="32" ht="20" customHeight="1">
      <c r="A32" s="2" t="n"/>
      <c r="B32" s="5">
        <f>IF(B7="","",B7)</f>
        <v/>
      </c>
      <c r="C32" s="2" t="n"/>
      <c r="D32" s="2" t="n"/>
      <c r="E32" s="2" t="n"/>
      <c r="F32" s="5">
        <f>IF(F7="","",F7)</f>
        <v/>
      </c>
      <c r="G32" s="2" t="n"/>
      <c r="H32" s="2" t="n"/>
      <c r="I32" s="2" t="n"/>
    </row>
    <row r="33" ht="25" customHeight="1">
      <c r="A33" s="7">
        <f>IF(A8="","",A8)</f>
        <v/>
      </c>
      <c r="B33" s="7">
        <f>IF(B8="","",B8)</f>
        <v/>
      </c>
      <c r="C33" s="7">
        <f>IF(C8="","",C8)</f>
        <v/>
      </c>
      <c r="D33" s="7">
        <f>IF(D8="","",D8)</f>
        <v/>
      </c>
      <c r="E33" s="7">
        <f>IF(E8="","",E8)</f>
        <v/>
      </c>
      <c r="F33" s="7">
        <f>IF(F8="","",F8)</f>
        <v/>
      </c>
      <c r="G33" s="7">
        <f>IF(G8="","",G8)</f>
        <v/>
      </c>
      <c r="H33" s="7">
        <f>IF(H8="","",H8)</f>
        <v/>
      </c>
      <c r="I33" s="7">
        <f>IF(I8="","",I8)</f>
        <v/>
      </c>
    </row>
    <row r="34" ht="22" customHeight="1">
      <c r="A34" s="8">
        <f>IF(A9="","",A9)</f>
        <v/>
      </c>
      <c r="B34" s="8">
        <f>IF(B9="","",B9)</f>
        <v/>
      </c>
      <c r="C34" s="8">
        <f>IF(C9="","",C9)</f>
        <v/>
      </c>
      <c r="D34" s="8">
        <f>IF(D9="","",D9)</f>
        <v/>
      </c>
      <c r="E34" s="8">
        <f>IF(E9="","",E9)</f>
        <v/>
      </c>
      <c r="F34" s="8">
        <f>IF(F9="","",F9)</f>
        <v/>
      </c>
      <c r="G34" s="10">
        <f>IF(G9="","",G9)</f>
        <v/>
      </c>
      <c r="H34" s="10">
        <f>IF(H9="","",H9)</f>
        <v/>
      </c>
      <c r="I34" s="8">
        <f>IF(I9="","",I9)</f>
        <v/>
      </c>
    </row>
    <row r="35" ht="22" customHeight="1">
      <c r="A35" s="8">
        <f>IF(A10="","",A10)</f>
        <v/>
      </c>
      <c r="B35" s="8">
        <f>IF(B10="","",B10)</f>
        <v/>
      </c>
      <c r="C35" s="8">
        <f>IF(C10="","",C10)</f>
        <v/>
      </c>
      <c r="D35" s="8">
        <f>IF(D10="","",D10)</f>
        <v/>
      </c>
      <c r="E35" s="8">
        <f>IF(E10="","",E10)</f>
        <v/>
      </c>
      <c r="F35" s="8">
        <f>IF(F10="","",F10)</f>
        <v/>
      </c>
      <c r="G35" s="10">
        <f>IF(G10="","",G10)</f>
        <v/>
      </c>
      <c r="H35" s="10">
        <f>IF(H10="","",H10)</f>
        <v/>
      </c>
      <c r="I35" s="8">
        <f>IF(I10="","",I10)</f>
        <v/>
      </c>
    </row>
    <row r="36" ht="22" customHeight="1">
      <c r="A36" s="8">
        <f>IF(A11="","",A11)</f>
        <v/>
      </c>
      <c r="B36" s="8">
        <f>IF(B11="","",B11)</f>
        <v/>
      </c>
      <c r="C36" s="8">
        <f>IF(C11="","",C11)</f>
        <v/>
      </c>
      <c r="D36" s="8">
        <f>IF(D11="","",D11)</f>
        <v/>
      </c>
      <c r="E36" s="8">
        <f>IF(E11="","",E11)</f>
        <v/>
      </c>
      <c r="F36" s="8">
        <f>IF(F11="","",F11)</f>
        <v/>
      </c>
      <c r="G36" s="10">
        <f>IF(G11="","",G11)</f>
        <v/>
      </c>
      <c r="H36" s="10">
        <f>IF(H11="","",H11)</f>
        <v/>
      </c>
      <c r="I36" s="8">
        <f>IF(I11="","",I11)</f>
        <v/>
      </c>
    </row>
    <row r="37" ht="22" customHeight="1">
      <c r="A37" s="8">
        <f>IF(A12="","",A12)</f>
        <v/>
      </c>
      <c r="B37" s="8">
        <f>IF(B12="","",B12)</f>
        <v/>
      </c>
      <c r="C37" s="8">
        <f>IF(C12="","",C12)</f>
        <v/>
      </c>
      <c r="D37" s="8">
        <f>IF(D12="","",D12)</f>
        <v/>
      </c>
      <c r="E37" s="8">
        <f>IF(E12="","",E12)</f>
        <v/>
      </c>
      <c r="F37" s="8">
        <f>IF(F12="","",F12)</f>
        <v/>
      </c>
      <c r="G37" s="10">
        <f>IF(G12="","",G12)</f>
        <v/>
      </c>
      <c r="H37" s="10">
        <f>IF(H12="","",H12)</f>
        <v/>
      </c>
      <c r="I37" s="8">
        <f>IF(I12="","",I12)</f>
        <v/>
      </c>
    </row>
    <row r="38" ht="22" customHeight="1">
      <c r="A38" s="8">
        <f>IF(A13="","",A13)</f>
        <v/>
      </c>
      <c r="B38" s="8">
        <f>IF(B13="","",B13)</f>
        <v/>
      </c>
      <c r="C38" s="8">
        <f>IF(C13="","",C13)</f>
        <v/>
      </c>
      <c r="D38" s="8">
        <f>IF(D13="","",D13)</f>
        <v/>
      </c>
      <c r="E38" s="8">
        <f>IF(E13="","",E13)</f>
        <v/>
      </c>
      <c r="F38" s="8">
        <f>IF(F13="","",F13)</f>
        <v/>
      </c>
      <c r="G38" s="10">
        <f>IF(G13="","",G13)</f>
        <v/>
      </c>
      <c r="H38" s="10">
        <f>IF(H13="","",H13)</f>
        <v/>
      </c>
      <c r="I38" s="8">
        <f>IF(I13="","",I13)</f>
        <v/>
      </c>
    </row>
    <row r="39" ht="22" customHeight="1">
      <c r="A39" s="8">
        <f>IF(A14="","",A14)</f>
        <v/>
      </c>
      <c r="B39" s="8">
        <f>IF(B14="","",B14)</f>
        <v/>
      </c>
      <c r="C39" s="8">
        <f>IF(C14="","",C14)</f>
        <v/>
      </c>
      <c r="D39" s="8">
        <f>IF(D14="","",D14)</f>
        <v/>
      </c>
      <c r="E39" s="8">
        <f>IF(E14="","",E14)</f>
        <v/>
      </c>
      <c r="F39" s="8">
        <f>IF(F14="","",F14)</f>
        <v/>
      </c>
      <c r="G39" s="10">
        <f>IF(G14="","",G14)</f>
        <v/>
      </c>
      <c r="H39" s="10">
        <f>IF(H14="","",H14)</f>
        <v/>
      </c>
      <c r="I39" s="8">
        <f>IF(I14="","",I14)</f>
        <v/>
      </c>
    </row>
    <row r="40" ht="22" customHeight="1">
      <c r="A40" s="8">
        <f>IF(A15="","",A15)</f>
        <v/>
      </c>
      <c r="B40" s="8">
        <f>IF(B15="","",B15)</f>
        <v/>
      </c>
      <c r="C40" s="8">
        <f>IF(C15="","",C15)</f>
        <v/>
      </c>
      <c r="D40" s="8">
        <f>IF(D15="","",D15)</f>
        <v/>
      </c>
      <c r="E40" s="8">
        <f>IF(E15="","",E15)</f>
        <v/>
      </c>
      <c r="F40" s="8">
        <f>IF(F15="","",F15)</f>
        <v/>
      </c>
      <c r="G40" s="10">
        <f>IF(G15="","",G15)</f>
        <v/>
      </c>
      <c r="H40" s="10">
        <f>IF(H15="","",H15)</f>
        <v/>
      </c>
      <c r="I40" s="8">
        <f>IF(I15="","",I15)</f>
        <v/>
      </c>
    </row>
    <row r="41" ht="22" customHeight="1">
      <c r="A41" s="8">
        <f>IF(A16="","",A16)</f>
        <v/>
      </c>
      <c r="B41" s="8">
        <f>IF(B16="","",B16)</f>
        <v/>
      </c>
      <c r="C41" s="8">
        <f>IF(C16="","",C16)</f>
        <v/>
      </c>
      <c r="D41" s="8">
        <f>IF(D16="","",D16)</f>
        <v/>
      </c>
      <c r="E41" s="8">
        <f>IF(E16="","",E16)</f>
        <v/>
      </c>
      <c r="F41" s="8">
        <f>IF(F16="","",F16)</f>
        <v/>
      </c>
      <c r="G41" s="10">
        <f>IF(G16="","",G16)</f>
        <v/>
      </c>
      <c r="H41" s="10">
        <f>IF(H16="","",H16)</f>
        <v/>
      </c>
      <c r="I41" s="8">
        <f>IF(I16="","",I16)</f>
        <v/>
      </c>
    </row>
    <row r="42" ht="22" customHeight="1">
      <c r="A42" s="8">
        <f>IF(A17="","",A17)</f>
        <v/>
      </c>
      <c r="B42" s="8">
        <f>IF(B17="","",B17)</f>
        <v/>
      </c>
      <c r="C42" s="8">
        <f>IF(C17="","",C17)</f>
        <v/>
      </c>
      <c r="D42" s="8">
        <f>IF(D17="","",D17)</f>
        <v/>
      </c>
      <c r="E42" s="8">
        <f>IF(E17="","",E17)</f>
        <v/>
      </c>
      <c r="F42" s="8">
        <f>IF(F17="","",F17)</f>
        <v/>
      </c>
      <c r="G42" s="10">
        <f>IF(G17="","",G17)</f>
        <v/>
      </c>
      <c r="H42" s="10">
        <f>IF(H17="","",H17)</f>
        <v/>
      </c>
      <c r="I42" s="8">
        <f>IF(I17="","",I17)</f>
        <v/>
      </c>
    </row>
    <row r="43" ht="25" customHeight="1">
      <c r="A43" s="11">
        <f>IF(A18="","",A18)</f>
        <v/>
      </c>
      <c r="B43" s="12" t="n"/>
      <c r="C43" s="12" t="n"/>
      <c r="D43" s="12" t="n"/>
      <c r="E43" s="12" t="n"/>
      <c r="F43" s="12" t="n"/>
      <c r="G43" s="12" t="n"/>
      <c r="H43" s="13">
        <f>IF(H18="","",H18)</f>
        <v/>
      </c>
      <c r="I43" s="14" t="inlineStr"/>
    </row>
    <row r="44" ht="25" customHeight="1">
      <c r="A44" s="4">
        <f>IF(A19="","",A19)</f>
        <v/>
      </c>
      <c r="B44" s="2" t="n"/>
      <c r="C44" s="2" t="n"/>
      <c r="D44" s="2" t="n"/>
      <c r="E44" s="2" t="n"/>
      <c r="F44" s="2" t="n"/>
      <c r="G44" s="2" t="n"/>
      <c r="H44" s="15">
        <f>IF(H19="","",H19)</f>
        <v/>
      </c>
      <c r="I44" s="8" t="inlineStr"/>
    </row>
    <row r="45" ht="28" customHeight="1">
      <c r="A45" s="16">
        <f>IF(A20="","",A20)</f>
        <v/>
      </c>
      <c r="B45" s="17" t="n"/>
      <c r="C45" s="17" t="n"/>
      <c r="D45" s="17" t="n"/>
      <c r="E45" s="17" t="n"/>
      <c r="F45" s="17" t="n"/>
      <c r="G45" s="17" t="n"/>
      <c r="H45" s="18">
        <f>IF(H20="","",H20)</f>
        <v/>
      </c>
      <c r="I45" s="19" t="inlineStr"/>
    </row>
    <row r="47" ht="20" customHeight="1">
      <c r="A47" s="20">
        <f>IF(A22="","",A22)</f>
        <v/>
      </c>
      <c r="B47" s="21" t="n"/>
      <c r="C47" s="21" t="n"/>
      <c r="D47" s="21" t="n"/>
      <c r="E47" s="21" t="n"/>
      <c r="F47" s="20">
        <f>IF(F22="","",F22)</f>
        <v/>
      </c>
      <c r="G47" s="21" t="n"/>
      <c r="H47" s="21" t="n"/>
      <c r="I47" s="21" t="n"/>
    </row>
    <row r="48" ht="20" customHeight="1">
      <c r="A48" s="20">
        <f>IF(A23="","",A23)</f>
        <v/>
      </c>
      <c r="B48" s="21" t="n"/>
      <c r="C48" s="21" t="n"/>
      <c r="D48" s="21" t="n"/>
      <c r="E48" s="21" t="n"/>
      <c r="F48" s="21" t="n"/>
      <c r="G48" s="21" t="n"/>
      <c r="H48" s="21" t="n"/>
      <c r="I48" s="21" t="n"/>
    </row>
    <row r="51" ht="35" customHeight="1">
      <c r="A51" s="1" t="inlineStr">
        <is>
          <t>거 래 명 세 표 (보관용)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2" customHeight="1">
      <c r="A52" s="22">
        <f>IF(A2="","",A2)</f>
        <v/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0" customHeight="1">
      <c r="A53" s="4">
        <f>IF(A3="","",A3)</f>
        <v/>
      </c>
      <c r="B53" s="5">
        <f>IF(B3="","",B3)</f>
        <v/>
      </c>
      <c r="C53" s="2" t="n"/>
      <c r="D53" s="2" t="n"/>
      <c r="E53" s="4">
        <f>IF(E3="","",E3)</f>
        <v/>
      </c>
      <c r="F53" s="5">
        <f>IF(F3="","",F3)</f>
        <v/>
      </c>
      <c r="G53" s="2" t="n"/>
      <c r="H53" s="2" t="n"/>
      <c r="I53" s="2" t="n"/>
    </row>
    <row r="54" ht="20" customHeight="1">
      <c r="A54" s="2" t="n"/>
      <c r="B54" s="5">
        <f>IF(B4="","",B4)</f>
        <v/>
      </c>
      <c r="C54" s="5">
        <f>IF(C4="","",C4)</f>
        <v/>
      </c>
      <c r="D54" s="2" t="n"/>
      <c r="E54" s="2" t="n"/>
      <c r="F54" s="5">
        <f>IF(F4="","",F4)</f>
        <v/>
      </c>
      <c r="G54" s="2" t="n"/>
      <c r="H54" s="5">
        <f>IF(H4="","",H4)</f>
        <v/>
      </c>
      <c r="I54" s="2" t="n"/>
    </row>
    <row r="55" ht="20" customHeight="1">
      <c r="A55" s="2" t="n"/>
      <c r="B55" s="6">
        <f>IF(B5="","",B5)</f>
        <v/>
      </c>
      <c r="C55" s="2" t="n"/>
      <c r="D55" s="2" t="n"/>
      <c r="E55" s="2" t="n"/>
      <c r="F55" s="6">
        <f>IF(F5="","",F5)</f>
        <v/>
      </c>
      <c r="G55" s="2" t="n"/>
      <c r="H55" s="2" t="n"/>
      <c r="I55" s="2" t="n"/>
    </row>
    <row r="56" ht="20" customHeight="1">
      <c r="A56" s="2" t="n"/>
      <c r="B56" s="5">
        <f>IF(B6="","",B6)</f>
        <v/>
      </c>
      <c r="C56" s="2" t="n"/>
      <c r="D56" s="2" t="n"/>
      <c r="E56" s="2" t="n"/>
      <c r="F56" s="5">
        <f>IF(F6="","",F6)</f>
        <v/>
      </c>
      <c r="G56" s="2" t="n"/>
      <c r="H56" s="2" t="n"/>
      <c r="I56" s="2" t="n"/>
    </row>
    <row r="57" ht="20" customHeight="1">
      <c r="A57" s="2" t="n"/>
      <c r="B57" s="5">
        <f>IF(B7="","",B7)</f>
        <v/>
      </c>
      <c r="C57" s="2" t="n"/>
      <c r="D57" s="2" t="n"/>
      <c r="E57" s="2" t="n"/>
      <c r="F57" s="5">
        <f>IF(F7="","",F7)</f>
        <v/>
      </c>
      <c r="G57" s="2" t="n"/>
      <c r="H57" s="2" t="n"/>
      <c r="I57" s="2" t="n"/>
    </row>
    <row r="58" ht="25" customHeight="1">
      <c r="A58" s="7">
        <f>IF(A8="","",A8)</f>
        <v/>
      </c>
      <c r="B58" s="7">
        <f>IF(B8="","",B8)</f>
        <v/>
      </c>
      <c r="C58" s="7">
        <f>IF(C8="","",C8)</f>
        <v/>
      </c>
      <c r="D58" s="7">
        <f>IF(D8="","",D8)</f>
        <v/>
      </c>
      <c r="E58" s="7">
        <f>IF(E8="","",E8)</f>
        <v/>
      </c>
      <c r="F58" s="7">
        <f>IF(F8="","",F8)</f>
        <v/>
      </c>
      <c r="G58" s="7">
        <f>IF(G8="","",G8)</f>
        <v/>
      </c>
      <c r="H58" s="7">
        <f>IF(H8="","",H8)</f>
        <v/>
      </c>
      <c r="I58" s="7">
        <f>IF(I8="","",I8)</f>
        <v/>
      </c>
    </row>
    <row r="59" ht="22" customHeight="1">
      <c r="A59" s="8">
        <f>IF(A9="","",A9)</f>
        <v/>
      </c>
      <c r="B59" s="8">
        <f>IF(B9="","",B9)</f>
        <v/>
      </c>
      <c r="C59" s="8">
        <f>IF(C9="","",C9)</f>
        <v/>
      </c>
      <c r="D59" s="8">
        <f>IF(D9="","",D9)</f>
        <v/>
      </c>
      <c r="E59" s="8">
        <f>IF(E9="","",E9)</f>
        <v/>
      </c>
      <c r="F59" s="8">
        <f>IF(F9="","",F9)</f>
        <v/>
      </c>
      <c r="G59" s="10">
        <f>IF(G9="","",G9)</f>
        <v/>
      </c>
      <c r="H59" s="10">
        <f>IF(H9="","",H9)</f>
        <v/>
      </c>
      <c r="I59" s="8">
        <f>IF(I9="","",I9)</f>
        <v/>
      </c>
    </row>
    <row r="60" ht="22" customHeight="1">
      <c r="A60" s="8">
        <f>IF(A10="","",A10)</f>
        <v/>
      </c>
      <c r="B60" s="8">
        <f>IF(B10="","",B10)</f>
        <v/>
      </c>
      <c r="C60" s="8">
        <f>IF(C10="","",C10)</f>
        <v/>
      </c>
      <c r="D60" s="8">
        <f>IF(D10="","",D10)</f>
        <v/>
      </c>
      <c r="E60" s="8">
        <f>IF(E10="","",E10)</f>
        <v/>
      </c>
      <c r="F60" s="8">
        <f>IF(F10="","",F10)</f>
        <v/>
      </c>
      <c r="G60" s="10">
        <f>IF(G10="","",G10)</f>
        <v/>
      </c>
      <c r="H60" s="10">
        <f>IF(H10="","",H10)</f>
        <v/>
      </c>
      <c r="I60" s="8">
        <f>IF(I10="","",I10)</f>
        <v/>
      </c>
    </row>
    <row r="61" ht="22" customHeight="1">
      <c r="A61" s="8">
        <f>IF(A11="","",A11)</f>
        <v/>
      </c>
      <c r="B61" s="8">
        <f>IF(B11="","",B11)</f>
        <v/>
      </c>
      <c r="C61" s="8">
        <f>IF(C11="","",C11)</f>
        <v/>
      </c>
      <c r="D61" s="8">
        <f>IF(D11="","",D11)</f>
        <v/>
      </c>
      <c r="E61" s="8">
        <f>IF(E11="","",E11)</f>
        <v/>
      </c>
      <c r="F61" s="8">
        <f>IF(F11="","",F11)</f>
        <v/>
      </c>
      <c r="G61" s="10">
        <f>IF(G11="","",G11)</f>
        <v/>
      </c>
      <c r="H61" s="10">
        <f>IF(H11="","",H11)</f>
        <v/>
      </c>
      <c r="I61" s="8">
        <f>IF(I11="","",I11)</f>
        <v/>
      </c>
    </row>
    <row r="62" ht="22" customHeight="1">
      <c r="A62" s="8">
        <f>IF(A12="","",A12)</f>
        <v/>
      </c>
      <c r="B62" s="8">
        <f>IF(B12="","",B12)</f>
        <v/>
      </c>
      <c r="C62" s="8">
        <f>IF(C12="","",C12)</f>
        <v/>
      </c>
      <c r="D62" s="8">
        <f>IF(D12="","",D12)</f>
        <v/>
      </c>
      <c r="E62" s="8">
        <f>IF(E12="","",E12)</f>
        <v/>
      </c>
      <c r="F62" s="8">
        <f>IF(F12="","",F12)</f>
        <v/>
      </c>
      <c r="G62" s="10">
        <f>IF(G12="","",G12)</f>
        <v/>
      </c>
      <c r="H62" s="10">
        <f>IF(H12="","",H12)</f>
        <v/>
      </c>
      <c r="I62" s="8">
        <f>IF(I12="","",I12)</f>
        <v/>
      </c>
    </row>
    <row r="63" ht="22" customHeight="1">
      <c r="A63" s="8">
        <f>IF(A13="","",A13)</f>
        <v/>
      </c>
      <c r="B63" s="8">
        <f>IF(B13="","",B13)</f>
        <v/>
      </c>
      <c r="C63" s="8">
        <f>IF(C13="","",C13)</f>
        <v/>
      </c>
      <c r="D63" s="8">
        <f>IF(D13="","",D13)</f>
        <v/>
      </c>
      <c r="E63" s="8">
        <f>IF(E13="","",E13)</f>
        <v/>
      </c>
      <c r="F63" s="8">
        <f>IF(F13="","",F13)</f>
        <v/>
      </c>
      <c r="G63" s="10">
        <f>IF(G13="","",G13)</f>
        <v/>
      </c>
      <c r="H63" s="10">
        <f>IF(H13="","",H13)</f>
        <v/>
      </c>
      <c r="I63" s="8">
        <f>IF(I13="","",I13)</f>
        <v/>
      </c>
    </row>
    <row r="64" ht="22" customHeight="1">
      <c r="A64" s="8">
        <f>IF(A14="","",A14)</f>
        <v/>
      </c>
      <c r="B64" s="8">
        <f>IF(B14="","",B14)</f>
        <v/>
      </c>
      <c r="C64" s="8">
        <f>IF(C14="","",C14)</f>
        <v/>
      </c>
      <c r="D64" s="8">
        <f>IF(D14="","",D14)</f>
        <v/>
      </c>
      <c r="E64" s="8">
        <f>IF(E14="","",E14)</f>
        <v/>
      </c>
      <c r="F64" s="8">
        <f>IF(F14="","",F14)</f>
        <v/>
      </c>
      <c r="G64" s="10">
        <f>IF(G14="","",G14)</f>
        <v/>
      </c>
      <c r="H64" s="10">
        <f>IF(H14="","",H14)</f>
        <v/>
      </c>
      <c r="I64" s="8">
        <f>IF(I14="","",I14)</f>
        <v/>
      </c>
    </row>
    <row r="65" ht="22" customHeight="1">
      <c r="A65" s="8">
        <f>IF(A15="","",A15)</f>
        <v/>
      </c>
      <c r="B65" s="8">
        <f>IF(B15="","",B15)</f>
        <v/>
      </c>
      <c r="C65" s="8">
        <f>IF(C15="","",C15)</f>
        <v/>
      </c>
      <c r="D65" s="8">
        <f>IF(D15="","",D15)</f>
        <v/>
      </c>
      <c r="E65" s="8">
        <f>IF(E15="","",E15)</f>
        <v/>
      </c>
      <c r="F65" s="8">
        <f>IF(F15="","",F15)</f>
        <v/>
      </c>
      <c r="G65" s="10">
        <f>IF(G15="","",G15)</f>
        <v/>
      </c>
      <c r="H65" s="10">
        <f>IF(H15="","",H15)</f>
        <v/>
      </c>
      <c r="I65" s="8">
        <f>IF(I15="","",I15)</f>
        <v/>
      </c>
    </row>
    <row r="66" ht="22" customHeight="1">
      <c r="A66" s="8">
        <f>IF(A16="","",A16)</f>
        <v/>
      </c>
      <c r="B66" s="8">
        <f>IF(B16="","",B16)</f>
        <v/>
      </c>
      <c r="C66" s="8">
        <f>IF(C16="","",C16)</f>
        <v/>
      </c>
      <c r="D66" s="8">
        <f>IF(D16="","",D16)</f>
        <v/>
      </c>
      <c r="E66" s="8">
        <f>IF(E16="","",E16)</f>
        <v/>
      </c>
      <c r="F66" s="8">
        <f>IF(F16="","",F16)</f>
        <v/>
      </c>
      <c r="G66" s="10">
        <f>IF(G16="","",G16)</f>
        <v/>
      </c>
      <c r="H66" s="10">
        <f>IF(H16="","",H16)</f>
        <v/>
      </c>
      <c r="I66" s="8">
        <f>IF(I16="","",I16)</f>
        <v/>
      </c>
    </row>
    <row r="67" ht="22" customHeight="1">
      <c r="A67" s="8">
        <f>IF(A17="","",A17)</f>
        <v/>
      </c>
      <c r="B67" s="8">
        <f>IF(B17="","",B17)</f>
        <v/>
      </c>
      <c r="C67" s="8">
        <f>IF(C17="","",C17)</f>
        <v/>
      </c>
      <c r="D67" s="8">
        <f>IF(D17="","",D17)</f>
        <v/>
      </c>
      <c r="E67" s="8">
        <f>IF(E17="","",E17)</f>
        <v/>
      </c>
      <c r="F67" s="8">
        <f>IF(F17="","",F17)</f>
        <v/>
      </c>
      <c r="G67" s="10">
        <f>IF(G17="","",G17)</f>
        <v/>
      </c>
      <c r="H67" s="10">
        <f>IF(H17="","",H17)</f>
        <v/>
      </c>
      <c r="I67" s="8">
        <f>IF(I17="","",I17)</f>
        <v/>
      </c>
    </row>
    <row r="68" ht="25" customHeight="1">
      <c r="A68" s="11">
        <f>IF(A18="","",A18)</f>
        <v/>
      </c>
      <c r="B68" s="12" t="n"/>
      <c r="C68" s="12" t="n"/>
      <c r="D68" s="12" t="n"/>
      <c r="E68" s="12" t="n"/>
      <c r="F68" s="12" t="n"/>
      <c r="G68" s="12" t="n"/>
      <c r="H68" s="13">
        <f>IF(H18="","",H18)</f>
        <v/>
      </c>
      <c r="I68" s="14" t="inlineStr"/>
    </row>
    <row r="69" ht="25" customHeight="1">
      <c r="A69" s="4">
        <f>IF(A19="","",A19)</f>
        <v/>
      </c>
      <c r="B69" s="2" t="n"/>
      <c r="C69" s="2" t="n"/>
      <c r="D69" s="2" t="n"/>
      <c r="E69" s="2" t="n"/>
      <c r="F69" s="2" t="n"/>
      <c r="G69" s="2" t="n"/>
      <c r="H69" s="15">
        <f>IF(H19="","",H19)</f>
        <v/>
      </c>
      <c r="I69" s="8" t="inlineStr"/>
    </row>
    <row r="70" ht="28" customHeight="1">
      <c r="A70" s="16">
        <f>IF(A20="","",A20)</f>
        <v/>
      </c>
      <c r="B70" s="17" t="n"/>
      <c r="C70" s="17" t="n"/>
      <c r="D70" s="17" t="n"/>
      <c r="E70" s="17" t="n"/>
      <c r="F70" s="17" t="n"/>
      <c r="G70" s="17" t="n"/>
      <c r="H70" s="18">
        <f>IF(H20="","",H20)</f>
        <v/>
      </c>
      <c r="I70" s="19" t="inlineStr"/>
    </row>
    <row r="72" ht="20" customHeight="1">
      <c r="A72" s="20">
        <f>IF(A22="","",A22)</f>
        <v/>
      </c>
      <c r="B72" s="21" t="n"/>
      <c r="C72" s="21" t="n"/>
      <c r="D72" s="21" t="n"/>
      <c r="E72" s="21" t="n"/>
      <c r="F72" s="20">
        <f>IF(F22="","",F22)</f>
        <v/>
      </c>
      <c r="G72" s="21" t="n"/>
      <c r="H72" s="21" t="n"/>
      <c r="I72" s="21" t="n"/>
    </row>
    <row r="73" ht="20" customHeight="1">
      <c r="A73" s="20">
        <f>IF(A23="","",A23)</f>
        <v/>
      </c>
      <c r="B73" s="21" t="n"/>
      <c r="C73" s="21" t="n"/>
      <c r="D73" s="21" t="n"/>
      <c r="E73" s="21" t="n"/>
      <c r="F73" s="21" t="n"/>
      <c r="G73" s="21" t="n"/>
      <c r="H73" s="21" t="n"/>
      <c r="I73" s="21" t="n"/>
    </row>
  </sheetData>
  <mergeCells count="63">
    <mergeCell ref="F4:G4"/>
    <mergeCell ref="A23:D23"/>
    <mergeCell ref="F31:I31"/>
    <mergeCell ref="F56:I56"/>
    <mergeCell ref="A22:D22"/>
    <mergeCell ref="F29:G29"/>
    <mergeCell ref="H29:I29"/>
    <mergeCell ref="B57:D57"/>
    <mergeCell ref="F54:G54"/>
    <mergeCell ref="H54:I54"/>
    <mergeCell ref="A72:D72"/>
    <mergeCell ref="A20:G20"/>
    <mergeCell ref="A27:I27"/>
    <mergeCell ref="B53:D53"/>
    <mergeCell ref="H4:I4"/>
    <mergeCell ref="A43:G43"/>
    <mergeCell ref="A19:G19"/>
    <mergeCell ref="A68:G68"/>
    <mergeCell ref="A26:I26"/>
    <mergeCell ref="C4:D4"/>
    <mergeCell ref="B28:D28"/>
    <mergeCell ref="A44:G44"/>
    <mergeCell ref="A2:I2"/>
    <mergeCell ref="C29:D29"/>
    <mergeCell ref="A53:A57"/>
    <mergeCell ref="C54:D54"/>
    <mergeCell ref="F53:I53"/>
    <mergeCell ref="F57:I57"/>
    <mergeCell ref="A48:D48"/>
    <mergeCell ref="A28:A32"/>
    <mergeCell ref="B30:D30"/>
    <mergeCell ref="E3:E7"/>
    <mergeCell ref="A73:D73"/>
    <mergeCell ref="B55:D55"/>
    <mergeCell ref="B6:D6"/>
    <mergeCell ref="F6:I6"/>
    <mergeCell ref="A45:G45"/>
    <mergeCell ref="A52:I52"/>
    <mergeCell ref="E53:E57"/>
    <mergeCell ref="F28:I28"/>
    <mergeCell ref="B5:D5"/>
    <mergeCell ref="A70:G70"/>
    <mergeCell ref="F7:I7"/>
    <mergeCell ref="F3:I3"/>
    <mergeCell ref="B32:D32"/>
    <mergeCell ref="F55:I55"/>
    <mergeCell ref="A69:G69"/>
    <mergeCell ref="F30:I30"/>
    <mergeCell ref="F5:I5"/>
    <mergeCell ref="B7:D7"/>
    <mergeCell ref="F32:I32"/>
    <mergeCell ref="B3:D3"/>
    <mergeCell ref="A51:I51"/>
    <mergeCell ref="A18:G18"/>
    <mergeCell ref="B31:D31"/>
    <mergeCell ref="A1:I1"/>
    <mergeCell ref="F47:I47"/>
    <mergeCell ref="B56:D56"/>
    <mergeCell ref="A3:A7"/>
    <mergeCell ref="E28:E32"/>
    <mergeCell ref="F72:I72"/>
    <mergeCell ref="A47:D47"/>
    <mergeCell ref="F22:I22"/>
  </mergeCells>
  <dataValidations count="1">
    <dataValidation sqref="B9 B10 B11 B12 B13 B14 B15 B16 B17" showDropDown="0" showInputMessage="1" showErrorMessage="1" allowBlank="1" errorTitle="코드번호 오류" error="코드매핑 시트에 등록된 코드번호를 선택하세요." promptTitle="코드번호" prompt="코드번호를 선택하세요" type="list">
      <formula1>코드매핑!$A$2:$A$222</formula1>
    </dataValidation>
  </dataValidations>
  <pageMargins left="0.5" right="0.5" top="0.5" bottom="0.5" header="0.3" footer="0.3"/>
  <pageSetup orientation="landscape" paperSize="9" fitToHeight="0" fitToWidth="1"/>
  <rowBreaks count="2" manualBreakCount="2">
    <brk id="25" min="0" max="16383" man="1"/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8" customWidth="1" min="5" max="5"/>
  </cols>
  <sheetData>
    <row r="1">
      <c r="A1" s="7" t="inlineStr">
        <is>
          <t>코드번호</t>
        </is>
      </c>
      <c r="B1" s="7" t="inlineStr">
        <is>
          <t>품명</t>
        </is>
      </c>
      <c r="C1" s="7" t="inlineStr">
        <is>
          <t>규격</t>
        </is>
      </c>
      <c r="D1" s="7" t="inlineStr">
        <is>
          <t>단가</t>
        </is>
      </c>
      <c r="E1" s="7" t="inlineStr">
        <is>
          <t>비고</t>
        </is>
      </c>
    </row>
    <row r="2">
      <c r="A2" s="8" t="inlineStr">
        <is>
          <t>40040036401</t>
        </is>
      </c>
      <c r="B2" s="8" t="inlineStr">
        <is>
          <t>BEARING</t>
        </is>
      </c>
      <c r="C2" s="8" t="inlineStr">
        <is>
          <t>RNA6906</t>
        </is>
      </c>
      <c r="D2" s="10" t="n">
        <v>5800</v>
      </c>
      <c r="E2" s="8" t="inlineStr">
        <is>
          <t>112DT PUMP</t>
        </is>
      </c>
    </row>
    <row r="3">
      <c r="A3" s="8" t="inlineStr">
        <is>
          <t>40040036402</t>
        </is>
      </c>
      <c r="B3" s="8" t="inlineStr">
        <is>
          <t>BEARING</t>
        </is>
      </c>
      <c r="C3" s="8" t="inlineStr">
        <is>
          <t>6000ZZ</t>
        </is>
      </c>
      <c r="D3" s="10" t="n">
        <v>1200</v>
      </c>
      <c r="E3" s="8" t="inlineStr">
        <is>
          <t>MOTOR</t>
        </is>
      </c>
    </row>
    <row r="4">
      <c r="A4" s="8" t="inlineStr">
        <is>
          <t>40040036403</t>
        </is>
      </c>
      <c r="B4" s="8" t="inlineStr">
        <is>
          <t>BEARING</t>
        </is>
      </c>
      <c r="C4" s="8" t="inlineStr">
        <is>
          <t>6001ZZ</t>
        </is>
      </c>
      <c r="D4" s="10" t="n">
        <v>1300</v>
      </c>
      <c r="E4" s="8" t="inlineStr">
        <is>
          <t>MOTOR</t>
        </is>
      </c>
    </row>
    <row r="5">
      <c r="A5" s="8" t="inlineStr">
        <is>
          <t>40040036404</t>
        </is>
      </c>
      <c r="B5" s="8" t="inlineStr">
        <is>
          <t>BEARING</t>
        </is>
      </c>
      <c r="C5" s="8" t="inlineStr">
        <is>
          <t>6002ZZ</t>
        </is>
      </c>
      <c r="D5" s="10" t="n">
        <v>1400</v>
      </c>
      <c r="E5" s="8" t="inlineStr">
        <is>
          <t>CONVEYOR</t>
        </is>
      </c>
    </row>
    <row r="6">
      <c r="A6" s="8" t="inlineStr">
        <is>
          <t>40040036405</t>
        </is>
      </c>
      <c r="B6" s="8" t="inlineStr">
        <is>
          <t>BEARING</t>
        </is>
      </c>
      <c r="C6" s="8" t="inlineStr">
        <is>
          <t>6003ZZ</t>
        </is>
      </c>
      <c r="D6" s="10" t="n">
        <v>1500</v>
      </c>
      <c r="E6" s="8" t="inlineStr">
        <is>
          <t>CONVEYOR</t>
        </is>
      </c>
    </row>
    <row r="7">
      <c r="A7" s="8" t="inlineStr">
        <is>
          <t>40040036406</t>
        </is>
      </c>
      <c r="B7" s="8" t="inlineStr">
        <is>
          <t>BEARING</t>
        </is>
      </c>
      <c r="C7" s="8" t="inlineStr">
        <is>
          <t>6004ZZ</t>
        </is>
      </c>
      <c r="D7" s="10" t="n">
        <v>1800</v>
      </c>
      <c r="E7" s="8" t="inlineStr">
        <is>
          <t>PUMP</t>
        </is>
      </c>
    </row>
    <row r="8">
      <c r="A8" s="8" t="inlineStr">
        <is>
          <t>40040036407</t>
        </is>
      </c>
      <c r="B8" s="8" t="inlineStr">
        <is>
          <t>BEARING</t>
        </is>
      </c>
      <c r="C8" s="8" t="inlineStr">
        <is>
          <t>6005ZZ</t>
        </is>
      </c>
      <c r="D8" s="10" t="n">
        <v>2200</v>
      </c>
      <c r="E8" s="8" t="inlineStr">
        <is>
          <t>PUMP</t>
        </is>
      </c>
    </row>
    <row r="9">
      <c r="A9" s="8" t="inlineStr">
        <is>
          <t>40040036408</t>
        </is>
      </c>
      <c r="B9" s="8" t="inlineStr">
        <is>
          <t>BEARING</t>
        </is>
      </c>
      <c r="C9" s="8" t="inlineStr">
        <is>
          <t>6006ZZ</t>
        </is>
      </c>
      <c r="D9" s="10" t="n">
        <v>2800</v>
      </c>
      <c r="E9" s="8" t="inlineStr">
        <is>
          <t>PUMP</t>
        </is>
      </c>
    </row>
    <row r="10">
      <c r="A10" s="8" t="inlineStr">
        <is>
          <t>40040036409</t>
        </is>
      </c>
      <c r="B10" s="8" t="inlineStr">
        <is>
          <t>BEARING</t>
        </is>
      </c>
      <c r="C10" s="8" t="inlineStr">
        <is>
          <t>6007ZZ</t>
        </is>
      </c>
      <c r="D10" s="10" t="n">
        <v>3500</v>
      </c>
      <c r="E10" s="8" t="inlineStr">
        <is>
          <t>GEARBOX</t>
        </is>
      </c>
    </row>
    <row r="11">
      <c r="A11" s="8" t="inlineStr">
        <is>
          <t>40040036410</t>
        </is>
      </c>
      <c r="B11" s="8" t="inlineStr">
        <is>
          <t>BEARING</t>
        </is>
      </c>
      <c r="C11" s="8" t="inlineStr">
        <is>
          <t>6008ZZ</t>
        </is>
      </c>
      <c r="D11" s="10" t="n">
        <v>4200</v>
      </c>
      <c r="E11" s="8" t="inlineStr">
        <is>
          <t>GEARBOX</t>
        </is>
      </c>
    </row>
    <row r="12">
      <c r="A12" s="8" t="inlineStr">
        <is>
          <t>40040036411</t>
        </is>
      </c>
      <c r="B12" s="8" t="inlineStr">
        <is>
          <t>BEARING</t>
        </is>
      </c>
      <c r="C12" s="8" t="inlineStr">
        <is>
          <t>6009ZZ</t>
        </is>
      </c>
      <c r="D12" s="10" t="n">
        <v>4800</v>
      </c>
      <c r="E12" s="8" t="inlineStr">
        <is>
          <t>GEARBOX</t>
        </is>
      </c>
    </row>
    <row r="13">
      <c r="A13" s="8" t="inlineStr">
        <is>
          <t>40040036412</t>
        </is>
      </c>
      <c r="B13" s="8" t="inlineStr">
        <is>
          <t>BEARING</t>
        </is>
      </c>
      <c r="C13" s="8" t="inlineStr">
        <is>
          <t>6010ZZ</t>
        </is>
      </c>
      <c r="D13" s="10" t="n">
        <v>5500</v>
      </c>
      <c r="E13" s="8" t="inlineStr">
        <is>
          <t>GEARBOX</t>
        </is>
      </c>
    </row>
    <row r="14">
      <c r="A14" s="8" t="inlineStr">
        <is>
          <t>40040036413</t>
        </is>
      </c>
      <c r="B14" s="8" t="inlineStr">
        <is>
          <t>BEARING</t>
        </is>
      </c>
      <c r="C14" s="8" t="inlineStr">
        <is>
          <t>6011ZZ</t>
        </is>
      </c>
      <c r="D14" s="10" t="n">
        <v>7800</v>
      </c>
      <c r="E14" s="8" t="inlineStr">
        <is>
          <t>MOTOR</t>
        </is>
      </c>
    </row>
    <row r="15">
      <c r="A15" s="8" t="inlineStr">
        <is>
          <t>40040036414</t>
        </is>
      </c>
      <c r="B15" s="8" t="inlineStr">
        <is>
          <t>BEARING</t>
        </is>
      </c>
      <c r="C15" s="8" t="inlineStr">
        <is>
          <t>6012ZZ</t>
        </is>
      </c>
      <c r="D15" s="10" t="n">
        <v>9200</v>
      </c>
      <c r="E15" s="8" t="inlineStr">
        <is>
          <t>MOTOR</t>
        </is>
      </c>
    </row>
    <row r="16">
      <c r="A16" s="8" t="inlineStr">
        <is>
          <t>40040036415</t>
        </is>
      </c>
      <c r="B16" s="8" t="inlineStr">
        <is>
          <t>BEARING</t>
        </is>
      </c>
      <c r="C16" s="8" t="inlineStr">
        <is>
          <t>6013ZZ</t>
        </is>
      </c>
      <c r="D16" s="10" t="n">
        <v>11500</v>
      </c>
      <c r="E16" s="8" t="inlineStr">
        <is>
          <t>MOTOR</t>
        </is>
      </c>
    </row>
    <row r="17">
      <c r="A17" s="8" t="inlineStr">
        <is>
          <t>40040036416</t>
        </is>
      </c>
      <c r="B17" s="8" t="inlineStr">
        <is>
          <t>BEARING</t>
        </is>
      </c>
      <c r="C17" s="8" t="inlineStr">
        <is>
          <t>6200ZZ</t>
        </is>
      </c>
      <c r="D17" s="10" t="n">
        <v>1500</v>
      </c>
      <c r="E17" s="8" t="inlineStr">
        <is>
          <t>CONVEYOR</t>
        </is>
      </c>
    </row>
    <row r="18">
      <c r="A18" s="8" t="inlineStr">
        <is>
          <t>40040036417</t>
        </is>
      </c>
      <c r="B18" s="8" t="inlineStr">
        <is>
          <t>BEARING</t>
        </is>
      </c>
      <c r="C18" s="8" t="inlineStr">
        <is>
          <t>6201ZZ</t>
        </is>
      </c>
      <c r="D18" s="10" t="n">
        <v>1600</v>
      </c>
      <c r="E18" s="8" t="inlineStr">
        <is>
          <t>CONVEYOR</t>
        </is>
      </c>
    </row>
    <row r="19">
      <c r="A19" s="8" t="inlineStr">
        <is>
          <t>40040036418</t>
        </is>
      </c>
      <c r="B19" s="8" t="inlineStr">
        <is>
          <t>BEARING</t>
        </is>
      </c>
      <c r="C19" s="8" t="inlineStr">
        <is>
          <t>6202ZZ</t>
        </is>
      </c>
      <c r="D19" s="10" t="n">
        <v>1700</v>
      </c>
      <c r="E19" s="8" t="inlineStr">
        <is>
          <t>MOTOR</t>
        </is>
      </c>
    </row>
    <row r="20">
      <c r="A20" s="8" t="inlineStr">
        <is>
          <t>40040036419</t>
        </is>
      </c>
      <c r="B20" s="8" t="inlineStr">
        <is>
          <t>BEARING</t>
        </is>
      </c>
      <c r="C20" s="8" t="inlineStr">
        <is>
          <t>6203ZZ</t>
        </is>
      </c>
      <c r="D20" s="10" t="n">
        <v>1900</v>
      </c>
      <c r="E20" s="8" t="inlineStr">
        <is>
          <t>MOTOR</t>
        </is>
      </c>
    </row>
    <row r="21">
      <c r="A21" s="8" t="inlineStr">
        <is>
          <t>40040036420</t>
        </is>
      </c>
      <c r="B21" s="8" t="inlineStr">
        <is>
          <t>BEARING</t>
        </is>
      </c>
      <c r="C21" s="8" t="inlineStr">
        <is>
          <t>6204ZZ</t>
        </is>
      </c>
      <c r="D21" s="10" t="n">
        <v>2100</v>
      </c>
      <c r="E21" s="8" t="inlineStr">
        <is>
          <t>PUMP</t>
        </is>
      </c>
    </row>
    <row r="22">
      <c r="A22" s="8" t="inlineStr">
        <is>
          <t>40040036421</t>
        </is>
      </c>
      <c r="B22" s="8" t="inlineStr">
        <is>
          <t>BEARING</t>
        </is>
      </c>
      <c r="C22" s="8" t="inlineStr">
        <is>
          <t>6205ZZ</t>
        </is>
      </c>
      <c r="D22" s="10" t="n">
        <v>2500</v>
      </c>
      <c r="E22" s="8" t="inlineStr">
        <is>
          <t>PUMP</t>
        </is>
      </c>
    </row>
    <row r="23">
      <c r="A23" s="8" t="inlineStr">
        <is>
          <t>40040036422</t>
        </is>
      </c>
      <c r="B23" s="8" t="inlineStr">
        <is>
          <t>BEARING</t>
        </is>
      </c>
      <c r="C23" s="8" t="inlineStr">
        <is>
          <t>6206ZZ</t>
        </is>
      </c>
      <c r="D23" s="10" t="n">
        <v>3200</v>
      </c>
      <c r="E23" s="8" t="inlineStr">
        <is>
          <t>PUMP</t>
        </is>
      </c>
    </row>
    <row r="24">
      <c r="A24" s="8" t="inlineStr">
        <is>
          <t>40040036423</t>
        </is>
      </c>
      <c r="B24" s="8" t="inlineStr">
        <is>
          <t>BEARING</t>
        </is>
      </c>
      <c r="C24" s="8" t="inlineStr">
        <is>
          <t>6207ZZ</t>
        </is>
      </c>
      <c r="D24" s="10" t="n">
        <v>4000</v>
      </c>
      <c r="E24" s="8" t="inlineStr">
        <is>
          <t>GEARBOX</t>
        </is>
      </c>
    </row>
    <row r="25">
      <c r="A25" s="8" t="inlineStr">
        <is>
          <t>40040036424</t>
        </is>
      </c>
      <c r="B25" s="8" t="inlineStr">
        <is>
          <t>BEARING</t>
        </is>
      </c>
      <c r="C25" s="8" t="inlineStr">
        <is>
          <t>6208ZZ</t>
        </is>
      </c>
      <c r="D25" s="10" t="n">
        <v>4800</v>
      </c>
      <c r="E25" s="8" t="inlineStr">
        <is>
          <t>GEARBOX</t>
        </is>
      </c>
    </row>
    <row r="26">
      <c r="A26" s="8" t="inlineStr">
        <is>
          <t>40040036425</t>
        </is>
      </c>
      <c r="B26" s="8" t="inlineStr">
        <is>
          <t>BEARING</t>
        </is>
      </c>
      <c r="C26" s="8" t="inlineStr">
        <is>
          <t>6209ZZ</t>
        </is>
      </c>
      <c r="D26" s="10" t="n">
        <v>5600</v>
      </c>
      <c r="E26" s="8" t="inlineStr">
        <is>
          <t>GEARBOX</t>
        </is>
      </c>
    </row>
    <row r="27">
      <c r="A27" s="8" t="inlineStr">
        <is>
          <t>40040036426</t>
        </is>
      </c>
      <c r="B27" s="8" t="inlineStr">
        <is>
          <t>BEARING</t>
        </is>
      </c>
      <c r="C27" s="8" t="inlineStr">
        <is>
          <t>6210ZZ</t>
        </is>
      </c>
      <c r="D27" s="10" t="n">
        <v>6500</v>
      </c>
      <c r="E27" s="8" t="inlineStr">
        <is>
          <t>GEARBOX</t>
        </is>
      </c>
    </row>
    <row r="28">
      <c r="A28" s="8" t="inlineStr">
        <is>
          <t>40040036427</t>
        </is>
      </c>
      <c r="B28" s="8" t="inlineStr">
        <is>
          <t>BEARING</t>
        </is>
      </c>
      <c r="C28" s="8" t="inlineStr">
        <is>
          <t>6211ZZ</t>
        </is>
      </c>
      <c r="D28" s="10" t="n">
        <v>8500</v>
      </c>
      <c r="E28" s="8" t="inlineStr">
        <is>
          <t>MOTOR</t>
        </is>
      </c>
    </row>
    <row r="29">
      <c r="A29" s="8" t="inlineStr">
        <is>
          <t>40040036428</t>
        </is>
      </c>
      <c r="B29" s="8" t="inlineStr">
        <is>
          <t>BEARING</t>
        </is>
      </c>
      <c r="C29" s="8" t="inlineStr">
        <is>
          <t>6212ZZ</t>
        </is>
      </c>
      <c r="D29" s="10" t="n">
        <v>10500</v>
      </c>
      <c r="E29" s="8" t="inlineStr">
        <is>
          <t>MOTOR</t>
        </is>
      </c>
    </row>
    <row r="30">
      <c r="A30" s="8" t="inlineStr">
        <is>
          <t>40040036429</t>
        </is>
      </c>
      <c r="B30" s="8" t="inlineStr">
        <is>
          <t>BEARING</t>
        </is>
      </c>
      <c r="C30" s="8" t="inlineStr">
        <is>
          <t>6213ZZ</t>
        </is>
      </c>
      <c r="D30" s="10" t="n">
        <v>13000</v>
      </c>
      <c r="E30" s="8" t="inlineStr">
        <is>
          <t>MOTOR</t>
        </is>
      </c>
    </row>
    <row r="31">
      <c r="A31" s="8" t="inlineStr">
        <is>
          <t>40040036430</t>
        </is>
      </c>
      <c r="B31" s="8" t="inlineStr">
        <is>
          <t>BEARING</t>
        </is>
      </c>
      <c r="C31" s="8" t="inlineStr">
        <is>
          <t>6214ZZ</t>
        </is>
      </c>
      <c r="D31" s="10" t="n">
        <v>15500</v>
      </c>
      <c r="E31" s="8" t="inlineStr">
        <is>
          <t>MOTOR</t>
        </is>
      </c>
    </row>
    <row r="32">
      <c r="A32" s="8" t="inlineStr">
        <is>
          <t>40040036431</t>
        </is>
      </c>
      <c r="B32" s="8" t="inlineStr">
        <is>
          <t>BEARING</t>
        </is>
      </c>
      <c r="C32" s="8" t="inlineStr">
        <is>
          <t>6215ZZ</t>
        </is>
      </c>
      <c r="D32" s="10" t="n">
        <v>18000</v>
      </c>
      <c r="E32" s="8" t="inlineStr">
        <is>
          <t>MOTOR</t>
        </is>
      </c>
    </row>
    <row r="33">
      <c r="A33" s="8" t="inlineStr">
        <is>
          <t>40040036432</t>
        </is>
      </c>
      <c r="B33" s="8" t="inlineStr">
        <is>
          <t>BEARING</t>
        </is>
      </c>
      <c r="C33" s="8" t="inlineStr">
        <is>
          <t>6300ZZ</t>
        </is>
      </c>
      <c r="D33" s="10" t="n">
        <v>2000</v>
      </c>
      <c r="E33" s="8" t="inlineStr">
        <is>
          <t>CONVEYOR</t>
        </is>
      </c>
    </row>
    <row r="34">
      <c r="A34" s="8" t="inlineStr">
        <is>
          <t>40040036433</t>
        </is>
      </c>
      <c r="B34" s="8" t="inlineStr">
        <is>
          <t>BEARING</t>
        </is>
      </c>
      <c r="C34" s="8" t="inlineStr">
        <is>
          <t>6301ZZ</t>
        </is>
      </c>
      <c r="D34" s="10" t="n">
        <v>2100</v>
      </c>
      <c r="E34" s="8" t="inlineStr">
        <is>
          <t>CONVEYOR</t>
        </is>
      </c>
    </row>
    <row r="35">
      <c r="A35" s="8" t="inlineStr">
        <is>
          <t>40040036434</t>
        </is>
      </c>
      <c r="B35" s="8" t="inlineStr">
        <is>
          <t>BEARING</t>
        </is>
      </c>
      <c r="C35" s="8" t="inlineStr">
        <is>
          <t>6302ZZ</t>
        </is>
      </c>
      <c r="D35" s="10" t="n">
        <v>2300</v>
      </c>
      <c r="E35" s="8" t="inlineStr">
        <is>
          <t>MOTOR</t>
        </is>
      </c>
    </row>
    <row r="36">
      <c r="A36" s="8" t="inlineStr">
        <is>
          <t>40040036435</t>
        </is>
      </c>
      <c r="B36" s="8" t="inlineStr">
        <is>
          <t>BEARING</t>
        </is>
      </c>
      <c r="C36" s="8" t="inlineStr">
        <is>
          <t>6303ZZ</t>
        </is>
      </c>
      <c r="D36" s="10" t="n">
        <v>2600</v>
      </c>
      <c r="E36" s="8" t="inlineStr">
        <is>
          <t>MOTOR</t>
        </is>
      </c>
    </row>
    <row r="37">
      <c r="A37" s="8" t="inlineStr">
        <is>
          <t>40040036436</t>
        </is>
      </c>
      <c r="B37" s="8" t="inlineStr">
        <is>
          <t>BEARING</t>
        </is>
      </c>
      <c r="C37" s="8" t="inlineStr">
        <is>
          <t>6304ZZ</t>
        </is>
      </c>
      <c r="D37" s="10" t="n">
        <v>3000</v>
      </c>
      <c r="E37" s="8" t="inlineStr">
        <is>
          <t>PUMP</t>
        </is>
      </c>
    </row>
    <row r="38">
      <c r="A38" s="8" t="inlineStr">
        <is>
          <t>40040036437</t>
        </is>
      </c>
      <c r="B38" s="8" t="inlineStr">
        <is>
          <t>BEARING</t>
        </is>
      </c>
      <c r="C38" s="8" t="inlineStr">
        <is>
          <t>6305ZZ</t>
        </is>
      </c>
      <c r="D38" s="10" t="n">
        <v>3500</v>
      </c>
      <c r="E38" s="8" t="inlineStr">
        <is>
          <t>PUMP</t>
        </is>
      </c>
    </row>
    <row r="39">
      <c r="A39" s="8" t="inlineStr">
        <is>
          <t>40040036438</t>
        </is>
      </c>
      <c r="B39" s="8" t="inlineStr">
        <is>
          <t>BEARING</t>
        </is>
      </c>
      <c r="C39" s="8" t="inlineStr">
        <is>
          <t>6306ZZ</t>
        </is>
      </c>
      <c r="D39" s="10" t="n">
        <v>4200</v>
      </c>
      <c r="E39" s="8" t="inlineStr">
        <is>
          <t>PUMP</t>
        </is>
      </c>
    </row>
    <row r="40">
      <c r="A40" s="8" t="inlineStr">
        <is>
          <t>40040036439</t>
        </is>
      </c>
      <c r="B40" s="8" t="inlineStr">
        <is>
          <t>BEARING</t>
        </is>
      </c>
      <c r="C40" s="8" t="inlineStr">
        <is>
          <t>6307ZZ</t>
        </is>
      </c>
      <c r="D40" s="10" t="n">
        <v>5500</v>
      </c>
      <c r="E40" s="8" t="inlineStr">
        <is>
          <t>GEARBOX</t>
        </is>
      </c>
    </row>
    <row r="41">
      <c r="A41" s="8" t="inlineStr">
        <is>
          <t>40040036440</t>
        </is>
      </c>
      <c r="B41" s="8" t="inlineStr">
        <is>
          <t>BEARING</t>
        </is>
      </c>
      <c r="C41" s="8" t="inlineStr">
        <is>
          <t>6308ZZ</t>
        </is>
      </c>
      <c r="D41" s="10" t="n">
        <v>6800</v>
      </c>
      <c r="E41" s="8" t="inlineStr">
        <is>
          <t>GEARBOX</t>
        </is>
      </c>
    </row>
    <row r="42">
      <c r="A42" s="8" t="inlineStr">
        <is>
          <t>40040036441</t>
        </is>
      </c>
      <c r="B42" s="8" t="inlineStr">
        <is>
          <t>BEARING</t>
        </is>
      </c>
      <c r="C42" s="8" t="inlineStr">
        <is>
          <t>6309ZZ</t>
        </is>
      </c>
      <c r="D42" s="10" t="n">
        <v>8200</v>
      </c>
      <c r="E42" s="8" t="inlineStr">
        <is>
          <t>GEARBOX</t>
        </is>
      </c>
    </row>
    <row r="43">
      <c r="A43" s="8" t="inlineStr">
        <is>
          <t>40040036442</t>
        </is>
      </c>
      <c r="B43" s="8" t="inlineStr">
        <is>
          <t>BEARING</t>
        </is>
      </c>
      <c r="C43" s="8" t="inlineStr">
        <is>
          <t>6310ZZ</t>
        </is>
      </c>
      <c r="D43" s="10" t="n">
        <v>10000</v>
      </c>
      <c r="E43" s="8" t="inlineStr">
        <is>
          <t>GEARBOX</t>
        </is>
      </c>
    </row>
    <row r="44">
      <c r="A44" s="8" t="inlineStr">
        <is>
          <t>40040036443</t>
        </is>
      </c>
      <c r="B44" s="8" t="inlineStr">
        <is>
          <t>BEARING</t>
        </is>
      </c>
      <c r="C44" s="8" t="inlineStr">
        <is>
          <t>6311ZZ</t>
        </is>
      </c>
      <c r="D44" s="10" t="n">
        <v>13000</v>
      </c>
      <c r="E44" s="8" t="inlineStr">
        <is>
          <t>MOTOR</t>
        </is>
      </c>
    </row>
    <row r="45">
      <c r="A45" s="8" t="inlineStr">
        <is>
          <t>40040036444</t>
        </is>
      </c>
      <c r="B45" s="8" t="inlineStr">
        <is>
          <t>BEARING</t>
        </is>
      </c>
      <c r="C45" s="8" t="inlineStr">
        <is>
          <t>6312ZZ</t>
        </is>
      </c>
      <c r="D45" s="10" t="n">
        <v>16000</v>
      </c>
      <c r="E45" s="8" t="inlineStr">
        <is>
          <t>MOTOR</t>
        </is>
      </c>
    </row>
    <row r="46">
      <c r="A46" s="8" t="inlineStr">
        <is>
          <t>40040036445</t>
        </is>
      </c>
      <c r="B46" s="8" t="inlineStr">
        <is>
          <t>BEARING</t>
        </is>
      </c>
      <c r="C46" s="8" t="inlineStr">
        <is>
          <t>6800ZZ</t>
        </is>
      </c>
      <c r="D46" s="10" t="n">
        <v>1800</v>
      </c>
      <c r="E46" s="8" t="inlineStr">
        <is>
          <t>SPINDLE</t>
        </is>
      </c>
    </row>
    <row r="47">
      <c r="A47" s="8" t="inlineStr">
        <is>
          <t>40040036446</t>
        </is>
      </c>
      <c r="B47" s="8" t="inlineStr">
        <is>
          <t>BEARING</t>
        </is>
      </c>
      <c r="C47" s="8" t="inlineStr">
        <is>
          <t>6801ZZ</t>
        </is>
      </c>
      <c r="D47" s="10" t="n">
        <v>1900</v>
      </c>
      <c r="E47" s="8" t="inlineStr">
        <is>
          <t>SPINDLE</t>
        </is>
      </c>
    </row>
    <row r="48">
      <c r="A48" s="8" t="inlineStr">
        <is>
          <t>40040036447</t>
        </is>
      </c>
      <c r="B48" s="8" t="inlineStr">
        <is>
          <t>BEARING</t>
        </is>
      </c>
      <c r="C48" s="8" t="inlineStr">
        <is>
          <t>6802ZZ</t>
        </is>
      </c>
      <c r="D48" s="10" t="n">
        <v>2000</v>
      </c>
      <c r="E48" s="8" t="inlineStr">
        <is>
          <t>SPINDLE</t>
        </is>
      </c>
    </row>
    <row r="49">
      <c r="A49" s="8" t="inlineStr">
        <is>
          <t>40040036448</t>
        </is>
      </c>
      <c r="B49" s="8" t="inlineStr">
        <is>
          <t>BEARING</t>
        </is>
      </c>
      <c r="C49" s="8" t="inlineStr">
        <is>
          <t>6803ZZ</t>
        </is>
      </c>
      <c r="D49" s="10" t="n">
        <v>2200</v>
      </c>
      <c r="E49" s="8" t="inlineStr">
        <is>
          <t>SPINDLE</t>
        </is>
      </c>
    </row>
    <row r="50">
      <c r="A50" s="8" t="inlineStr">
        <is>
          <t>40040036449</t>
        </is>
      </c>
      <c r="B50" s="8" t="inlineStr">
        <is>
          <t>BEARING</t>
        </is>
      </c>
      <c r="C50" s="8" t="inlineStr">
        <is>
          <t>6804ZZ</t>
        </is>
      </c>
      <c r="D50" s="10" t="n">
        <v>2500</v>
      </c>
      <c r="E50" s="8" t="inlineStr">
        <is>
          <t>SPINDLE</t>
        </is>
      </c>
    </row>
    <row r="51">
      <c r="A51" s="8" t="inlineStr">
        <is>
          <t>40040036450</t>
        </is>
      </c>
      <c r="B51" s="8" t="inlineStr">
        <is>
          <t>BEARING</t>
        </is>
      </c>
      <c r="C51" s="8" t="inlineStr">
        <is>
          <t>6900ZZ</t>
        </is>
      </c>
      <c r="D51" s="10" t="n">
        <v>1600</v>
      </c>
      <c r="E51" s="8" t="inlineStr">
        <is>
          <t>SPINDLE</t>
        </is>
      </c>
    </row>
    <row r="52">
      <c r="A52" s="8" t="inlineStr">
        <is>
          <t>40040036451</t>
        </is>
      </c>
      <c r="B52" s="8" t="inlineStr">
        <is>
          <t>BEARING</t>
        </is>
      </c>
      <c r="C52" s="8" t="inlineStr">
        <is>
          <t>6901ZZ</t>
        </is>
      </c>
      <c r="D52" s="10" t="n">
        <v>1700</v>
      </c>
      <c r="E52" s="8" t="inlineStr">
        <is>
          <t>SPINDLE</t>
        </is>
      </c>
    </row>
    <row r="53">
      <c r="A53" s="8" t="inlineStr">
        <is>
          <t>40040036452</t>
        </is>
      </c>
      <c r="B53" s="8" t="inlineStr">
        <is>
          <t>BEARING</t>
        </is>
      </c>
      <c r="C53" s="8" t="inlineStr">
        <is>
          <t>6902ZZ</t>
        </is>
      </c>
      <c r="D53" s="10" t="n">
        <v>1800</v>
      </c>
      <c r="E53" s="8" t="inlineStr">
        <is>
          <t>SPINDLE</t>
        </is>
      </c>
    </row>
    <row r="54">
      <c r="A54" s="8" t="inlineStr">
        <is>
          <t>40040036453</t>
        </is>
      </c>
      <c r="B54" s="8" t="inlineStr">
        <is>
          <t>BEARING</t>
        </is>
      </c>
      <c r="C54" s="8" t="inlineStr">
        <is>
          <t>6903ZZ</t>
        </is>
      </c>
      <c r="D54" s="10" t="n">
        <v>2000</v>
      </c>
      <c r="E54" s="8" t="inlineStr">
        <is>
          <t>SPINDLE</t>
        </is>
      </c>
    </row>
    <row r="55">
      <c r="A55" s="8" t="inlineStr">
        <is>
          <t>40040036454</t>
        </is>
      </c>
      <c r="B55" s="8" t="inlineStr">
        <is>
          <t>BEARING</t>
        </is>
      </c>
      <c r="C55" s="8" t="inlineStr">
        <is>
          <t>6904ZZ</t>
        </is>
      </c>
      <c r="D55" s="10" t="n">
        <v>2300</v>
      </c>
      <c r="E55" s="8" t="inlineStr">
        <is>
          <t>SPINDLE</t>
        </is>
      </c>
    </row>
    <row r="56">
      <c r="A56" s="8" t="inlineStr">
        <is>
          <t>40040036455</t>
        </is>
      </c>
      <c r="B56" s="8" t="inlineStr">
        <is>
          <t>BEARING</t>
        </is>
      </c>
      <c r="C56" s="8" t="inlineStr">
        <is>
          <t>6905ZZ</t>
        </is>
      </c>
      <c r="D56" s="10" t="n">
        <v>2600</v>
      </c>
      <c r="E56" s="8" t="inlineStr">
        <is>
          <t>SPINDLE</t>
        </is>
      </c>
    </row>
    <row r="57">
      <c r="A57" s="8" t="inlineStr">
        <is>
          <t>40040306101</t>
        </is>
      </c>
      <c r="B57" s="8" t="inlineStr">
        <is>
          <t>BEARING</t>
        </is>
      </c>
      <c r="C57" s="8" t="inlineStr">
        <is>
          <t>NUP308ET</t>
        </is>
      </c>
      <c r="D57" s="10" t="n">
        <v>18500</v>
      </c>
      <c r="E57" s="8" t="inlineStr">
        <is>
          <t>112DT PUMP</t>
        </is>
      </c>
    </row>
    <row r="58">
      <c r="A58" s="8" t="inlineStr">
        <is>
          <t>40040306102</t>
        </is>
      </c>
      <c r="B58" s="8" t="inlineStr">
        <is>
          <t>BEARING</t>
        </is>
      </c>
      <c r="C58" s="8" t="inlineStr">
        <is>
          <t>NU204ET</t>
        </is>
      </c>
      <c r="D58" s="10" t="n">
        <v>8500</v>
      </c>
      <c r="E58" s="8" t="inlineStr">
        <is>
          <t>PUMP</t>
        </is>
      </c>
    </row>
    <row r="59">
      <c r="A59" s="8" t="inlineStr">
        <is>
          <t>40040306103</t>
        </is>
      </c>
      <c r="B59" s="8" t="inlineStr">
        <is>
          <t>BEARING</t>
        </is>
      </c>
      <c r="C59" s="8" t="inlineStr">
        <is>
          <t>NU205ET</t>
        </is>
      </c>
      <c r="D59" s="10" t="n">
        <v>9500</v>
      </c>
      <c r="E59" s="8" t="inlineStr">
        <is>
          <t>PUMP</t>
        </is>
      </c>
    </row>
    <row r="60">
      <c r="A60" s="8" t="inlineStr">
        <is>
          <t>40040306104</t>
        </is>
      </c>
      <c r="B60" s="8" t="inlineStr">
        <is>
          <t>BEARING</t>
        </is>
      </c>
      <c r="C60" s="8" t="inlineStr">
        <is>
          <t>NU206ET</t>
        </is>
      </c>
      <c r="D60" s="10" t="n">
        <v>11000</v>
      </c>
      <c r="E60" s="8" t="inlineStr">
        <is>
          <t>PUMP</t>
        </is>
      </c>
    </row>
    <row r="61">
      <c r="A61" s="8" t="inlineStr">
        <is>
          <t>40040306105</t>
        </is>
      </c>
      <c r="B61" s="8" t="inlineStr">
        <is>
          <t>BEARING</t>
        </is>
      </c>
      <c r="C61" s="8" t="inlineStr">
        <is>
          <t>NU207ET</t>
        </is>
      </c>
      <c r="D61" s="10" t="n">
        <v>13000</v>
      </c>
      <c r="E61" s="8" t="inlineStr">
        <is>
          <t>GEARBOX</t>
        </is>
      </c>
    </row>
    <row r="62">
      <c r="A62" s="8" t="inlineStr">
        <is>
          <t>40040306106</t>
        </is>
      </c>
      <c r="B62" s="8" t="inlineStr">
        <is>
          <t>BEARING</t>
        </is>
      </c>
      <c r="C62" s="8" t="inlineStr">
        <is>
          <t>NU208ET</t>
        </is>
      </c>
      <c r="D62" s="10" t="n">
        <v>15000</v>
      </c>
      <c r="E62" s="8" t="inlineStr">
        <is>
          <t>GEARBOX</t>
        </is>
      </c>
    </row>
    <row r="63">
      <c r="A63" s="8" t="inlineStr">
        <is>
          <t>40040306107</t>
        </is>
      </c>
      <c r="B63" s="8" t="inlineStr">
        <is>
          <t>BEARING</t>
        </is>
      </c>
      <c r="C63" s="8" t="inlineStr">
        <is>
          <t>NU209ET</t>
        </is>
      </c>
      <c r="D63" s="10" t="n">
        <v>17500</v>
      </c>
      <c r="E63" s="8" t="inlineStr">
        <is>
          <t>GEARBOX</t>
        </is>
      </c>
    </row>
    <row r="64">
      <c r="A64" s="8" t="inlineStr">
        <is>
          <t>40040306108</t>
        </is>
      </c>
      <c r="B64" s="8" t="inlineStr">
        <is>
          <t>BEARING</t>
        </is>
      </c>
      <c r="C64" s="8" t="inlineStr">
        <is>
          <t>NU210ET</t>
        </is>
      </c>
      <c r="D64" s="10" t="n">
        <v>20000</v>
      </c>
      <c r="E64" s="8" t="inlineStr">
        <is>
          <t>GEARBOX</t>
        </is>
      </c>
    </row>
    <row r="65">
      <c r="A65" s="8" t="inlineStr">
        <is>
          <t>40040306109</t>
        </is>
      </c>
      <c r="B65" s="8" t="inlineStr">
        <is>
          <t>BEARING</t>
        </is>
      </c>
      <c r="C65" s="8" t="inlineStr">
        <is>
          <t>NU211ET</t>
        </is>
      </c>
      <c r="D65" s="10" t="n">
        <v>23000</v>
      </c>
      <c r="E65" s="8" t="inlineStr">
        <is>
          <t>MOTOR</t>
        </is>
      </c>
    </row>
    <row r="66">
      <c r="A66" s="8" t="inlineStr">
        <is>
          <t>40040306110</t>
        </is>
      </c>
      <c r="B66" s="8" t="inlineStr">
        <is>
          <t>BEARING</t>
        </is>
      </c>
      <c r="C66" s="8" t="inlineStr">
        <is>
          <t>NU212ET</t>
        </is>
      </c>
      <c r="D66" s="10" t="n">
        <v>27000</v>
      </c>
      <c r="E66" s="8" t="inlineStr">
        <is>
          <t>MOTOR</t>
        </is>
      </c>
    </row>
    <row r="67">
      <c r="A67" s="8" t="inlineStr">
        <is>
          <t>40040306111</t>
        </is>
      </c>
      <c r="B67" s="8" t="inlineStr">
        <is>
          <t>BEARING</t>
        </is>
      </c>
      <c r="C67" s="8" t="inlineStr">
        <is>
          <t>NJ204ET</t>
        </is>
      </c>
      <c r="D67" s="10" t="n">
        <v>9000</v>
      </c>
      <c r="E67" s="8" t="inlineStr">
        <is>
          <t>PUMP</t>
        </is>
      </c>
    </row>
    <row r="68">
      <c r="A68" s="8" t="inlineStr">
        <is>
          <t>40040306112</t>
        </is>
      </c>
      <c r="B68" s="8" t="inlineStr">
        <is>
          <t>BEARING</t>
        </is>
      </c>
      <c r="C68" s="8" t="inlineStr">
        <is>
          <t>NJ205ET</t>
        </is>
      </c>
      <c r="D68" s="10" t="n">
        <v>10000</v>
      </c>
      <c r="E68" s="8" t="inlineStr">
        <is>
          <t>PUMP</t>
        </is>
      </c>
    </row>
    <row r="69">
      <c r="A69" s="8" t="inlineStr">
        <is>
          <t>40040306113</t>
        </is>
      </c>
      <c r="B69" s="8" t="inlineStr">
        <is>
          <t>BEARING</t>
        </is>
      </c>
      <c r="C69" s="8" t="inlineStr">
        <is>
          <t>NJ206ET</t>
        </is>
      </c>
      <c r="D69" s="10" t="n">
        <v>11500</v>
      </c>
      <c r="E69" s="8" t="inlineStr">
        <is>
          <t>PUMP</t>
        </is>
      </c>
    </row>
    <row r="70">
      <c r="A70" s="8" t="inlineStr">
        <is>
          <t>40040306114</t>
        </is>
      </c>
      <c r="B70" s="8" t="inlineStr">
        <is>
          <t>BEARING</t>
        </is>
      </c>
      <c r="C70" s="8" t="inlineStr">
        <is>
          <t>NJ207ET</t>
        </is>
      </c>
      <c r="D70" s="10" t="n">
        <v>14000</v>
      </c>
      <c r="E70" s="8" t="inlineStr">
        <is>
          <t>GEARBOX</t>
        </is>
      </c>
    </row>
    <row r="71">
      <c r="A71" s="8" t="inlineStr">
        <is>
          <t>40040306115</t>
        </is>
      </c>
      <c r="B71" s="8" t="inlineStr">
        <is>
          <t>BEARING</t>
        </is>
      </c>
      <c r="C71" s="8" t="inlineStr">
        <is>
          <t>NJ208ET</t>
        </is>
      </c>
      <c r="D71" s="10" t="n">
        <v>16000</v>
      </c>
      <c r="E71" s="8" t="inlineStr">
        <is>
          <t>GEARBOX</t>
        </is>
      </c>
    </row>
    <row r="72">
      <c r="A72" s="8" t="inlineStr">
        <is>
          <t>40040306116</t>
        </is>
      </c>
      <c r="B72" s="8" t="inlineStr">
        <is>
          <t>BEARING</t>
        </is>
      </c>
      <c r="C72" s="8" t="inlineStr">
        <is>
          <t>NUP204ET</t>
        </is>
      </c>
      <c r="D72" s="10" t="n">
        <v>9500</v>
      </c>
      <c r="E72" s="8" t="inlineStr">
        <is>
          <t>PUMP</t>
        </is>
      </c>
    </row>
    <row r="73">
      <c r="A73" s="8" t="inlineStr">
        <is>
          <t>40040306117</t>
        </is>
      </c>
      <c r="B73" s="8" t="inlineStr">
        <is>
          <t>BEARING</t>
        </is>
      </c>
      <c r="C73" s="8" t="inlineStr">
        <is>
          <t>NUP205ET</t>
        </is>
      </c>
      <c r="D73" s="10" t="n">
        <v>10500</v>
      </c>
      <c r="E73" s="8" t="inlineStr">
        <is>
          <t>PUMP</t>
        </is>
      </c>
    </row>
    <row r="74">
      <c r="A74" s="8" t="inlineStr">
        <is>
          <t>40040306118</t>
        </is>
      </c>
      <c r="B74" s="8" t="inlineStr">
        <is>
          <t>BEARING</t>
        </is>
      </c>
      <c r="C74" s="8" t="inlineStr">
        <is>
          <t>NUP206ET</t>
        </is>
      </c>
      <c r="D74" s="10" t="n">
        <v>12000</v>
      </c>
      <c r="E74" s="8" t="inlineStr">
        <is>
          <t>PUMP</t>
        </is>
      </c>
    </row>
    <row r="75">
      <c r="A75" s="8" t="inlineStr">
        <is>
          <t>40040306119</t>
        </is>
      </c>
      <c r="B75" s="8" t="inlineStr">
        <is>
          <t>BEARING</t>
        </is>
      </c>
      <c r="C75" s="8" t="inlineStr">
        <is>
          <t>NUP305ET</t>
        </is>
      </c>
      <c r="D75" s="10" t="n">
        <v>12000</v>
      </c>
      <c r="E75" s="8" t="inlineStr">
        <is>
          <t>PUMP</t>
        </is>
      </c>
    </row>
    <row r="76">
      <c r="A76" s="8" t="inlineStr">
        <is>
          <t>40040306120</t>
        </is>
      </c>
      <c r="B76" s="8" t="inlineStr">
        <is>
          <t>BEARING</t>
        </is>
      </c>
      <c r="C76" s="8" t="inlineStr">
        <is>
          <t>NUP306ET</t>
        </is>
      </c>
      <c r="D76" s="10" t="n">
        <v>14000</v>
      </c>
      <c r="E76" s="8" t="inlineStr">
        <is>
          <t>PUMP</t>
        </is>
      </c>
    </row>
    <row r="77">
      <c r="A77" s="8" t="inlineStr">
        <is>
          <t>40040306121</t>
        </is>
      </c>
      <c r="B77" s="8" t="inlineStr">
        <is>
          <t>BEARING</t>
        </is>
      </c>
      <c r="C77" s="8" t="inlineStr">
        <is>
          <t>NUP307ET</t>
        </is>
      </c>
      <c r="D77" s="10" t="n">
        <v>16500</v>
      </c>
      <c r="E77" s="8" t="inlineStr">
        <is>
          <t>GEARBOX</t>
        </is>
      </c>
    </row>
    <row r="78">
      <c r="A78" s="8" t="inlineStr">
        <is>
          <t>40040306122</t>
        </is>
      </c>
      <c r="B78" s="8" t="inlineStr">
        <is>
          <t>BEARING</t>
        </is>
      </c>
      <c r="C78" s="8" t="inlineStr">
        <is>
          <t>NUP309ET</t>
        </is>
      </c>
      <c r="D78" s="10" t="n">
        <v>21000</v>
      </c>
      <c r="E78" s="8" t="inlineStr">
        <is>
          <t>GEARBOX</t>
        </is>
      </c>
    </row>
    <row r="79">
      <c r="A79" s="8" t="inlineStr">
        <is>
          <t>40040306123</t>
        </is>
      </c>
      <c r="B79" s="8" t="inlineStr">
        <is>
          <t>BEARING</t>
        </is>
      </c>
      <c r="C79" s="8" t="inlineStr">
        <is>
          <t>NUP310ET</t>
        </is>
      </c>
      <c r="D79" s="10" t="n">
        <v>24000</v>
      </c>
      <c r="E79" s="8" t="inlineStr">
        <is>
          <t>GEARBOX</t>
        </is>
      </c>
    </row>
    <row r="80">
      <c r="A80" s="8" t="inlineStr">
        <is>
          <t>40040036460</t>
        </is>
      </c>
      <c r="B80" s="8" t="inlineStr">
        <is>
          <t>BEARING</t>
        </is>
      </c>
      <c r="C80" s="8" t="inlineStr">
        <is>
          <t>RNA4900</t>
        </is>
      </c>
      <c r="D80" s="10" t="n">
        <v>3200</v>
      </c>
      <c r="E80" s="8" t="inlineStr">
        <is>
          <t>GUIDE ROLLER</t>
        </is>
      </c>
    </row>
    <row r="81">
      <c r="A81" s="8" t="inlineStr">
        <is>
          <t>40040036461</t>
        </is>
      </c>
      <c r="B81" s="8" t="inlineStr">
        <is>
          <t>BEARING</t>
        </is>
      </c>
      <c r="C81" s="8" t="inlineStr">
        <is>
          <t>RNA4901</t>
        </is>
      </c>
      <c r="D81" s="10" t="n">
        <v>3500</v>
      </c>
      <c r="E81" s="8" t="inlineStr">
        <is>
          <t>GUIDE ROLLER</t>
        </is>
      </c>
    </row>
    <row r="82">
      <c r="A82" s="8" t="inlineStr">
        <is>
          <t>40040036462</t>
        </is>
      </c>
      <c r="B82" s="8" t="inlineStr">
        <is>
          <t>BEARING</t>
        </is>
      </c>
      <c r="C82" s="8" t="inlineStr">
        <is>
          <t>RNA4902</t>
        </is>
      </c>
      <c r="D82" s="10" t="n">
        <v>3800</v>
      </c>
      <c r="E82" s="8" t="inlineStr">
        <is>
          <t>GUIDE ROLLER</t>
        </is>
      </c>
    </row>
    <row r="83">
      <c r="A83" s="8" t="inlineStr">
        <is>
          <t>40040036463</t>
        </is>
      </c>
      <c r="B83" s="8" t="inlineStr">
        <is>
          <t>BEARING</t>
        </is>
      </c>
      <c r="C83" s="8" t="inlineStr">
        <is>
          <t>RNA4903</t>
        </is>
      </c>
      <c r="D83" s="10" t="n">
        <v>4200</v>
      </c>
      <c r="E83" s="8" t="inlineStr">
        <is>
          <t>GUIDE ROLLER</t>
        </is>
      </c>
    </row>
    <row r="84">
      <c r="A84" s="8" t="inlineStr">
        <is>
          <t>40040036464</t>
        </is>
      </c>
      <c r="B84" s="8" t="inlineStr">
        <is>
          <t>BEARING</t>
        </is>
      </c>
      <c r="C84" s="8" t="inlineStr">
        <is>
          <t>RNA4904</t>
        </is>
      </c>
      <c r="D84" s="10" t="n">
        <v>4600</v>
      </c>
      <c r="E84" s="8" t="inlineStr">
        <is>
          <t>GUIDE ROLLER</t>
        </is>
      </c>
    </row>
    <row r="85">
      <c r="A85" s="8" t="inlineStr">
        <is>
          <t>40040036465</t>
        </is>
      </c>
      <c r="B85" s="8" t="inlineStr">
        <is>
          <t>BEARING</t>
        </is>
      </c>
      <c r="C85" s="8" t="inlineStr">
        <is>
          <t>RNA6901</t>
        </is>
      </c>
      <c r="D85" s="10" t="n">
        <v>4800</v>
      </c>
      <c r="E85" s="8" t="inlineStr">
        <is>
          <t>PUMP</t>
        </is>
      </c>
    </row>
    <row r="86">
      <c r="A86" s="8" t="inlineStr">
        <is>
          <t>40040036466</t>
        </is>
      </c>
      <c r="B86" s="8" t="inlineStr">
        <is>
          <t>BEARING</t>
        </is>
      </c>
      <c r="C86" s="8" t="inlineStr">
        <is>
          <t>RNA6902</t>
        </is>
      </c>
      <c r="D86" s="10" t="n">
        <v>5200</v>
      </c>
      <c r="E86" s="8" t="inlineStr">
        <is>
          <t>PUMP</t>
        </is>
      </c>
    </row>
    <row r="87">
      <c r="A87" s="8" t="inlineStr">
        <is>
          <t>40040036467</t>
        </is>
      </c>
      <c r="B87" s="8" t="inlineStr">
        <is>
          <t>BEARING</t>
        </is>
      </c>
      <c r="C87" s="8" t="inlineStr">
        <is>
          <t>RNA6903</t>
        </is>
      </c>
      <c r="D87" s="10" t="n">
        <v>5500</v>
      </c>
      <c r="E87" s="8" t="inlineStr">
        <is>
          <t>PUMP</t>
        </is>
      </c>
    </row>
    <row r="88">
      <c r="A88" s="8" t="inlineStr">
        <is>
          <t>40040036468</t>
        </is>
      </c>
      <c r="B88" s="8" t="inlineStr">
        <is>
          <t>BEARING</t>
        </is>
      </c>
      <c r="C88" s="8" t="inlineStr">
        <is>
          <t>NK10/16</t>
        </is>
      </c>
      <c r="D88" s="10" t="n">
        <v>2800</v>
      </c>
      <c r="E88" s="8" t="inlineStr">
        <is>
          <t>CAM FOLLOWER</t>
        </is>
      </c>
    </row>
    <row r="89">
      <c r="A89" s="8" t="inlineStr">
        <is>
          <t>40040036469</t>
        </is>
      </c>
      <c r="B89" s="8" t="inlineStr">
        <is>
          <t>BEARING</t>
        </is>
      </c>
      <c r="C89" s="8" t="inlineStr">
        <is>
          <t>NK12/16</t>
        </is>
      </c>
      <c r="D89" s="10" t="n">
        <v>3000</v>
      </c>
      <c r="E89" s="8" t="inlineStr">
        <is>
          <t>CAM FOLLOWER</t>
        </is>
      </c>
    </row>
    <row r="90">
      <c r="A90" s="8" t="inlineStr">
        <is>
          <t>40040036470</t>
        </is>
      </c>
      <c r="B90" s="8" t="inlineStr">
        <is>
          <t>BEARING</t>
        </is>
      </c>
      <c r="C90" s="8" t="inlineStr">
        <is>
          <t>NK15/16</t>
        </is>
      </c>
      <c r="D90" s="10" t="n">
        <v>3200</v>
      </c>
      <c r="E90" s="8" t="inlineStr">
        <is>
          <t>CAM FOLLOWER</t>
        </is>
      </c>
    </row>
    <row r="91">
      <c r="A91" s="8" t="inlineStr">
        <is>
          <t>40040036471</t>
        </is>
      </c>
      <c r="B91" s="8" t="inlineStr">
        <is>
          <t>BEARING</t>
        </is>
      </c>
      <c r="C91" s="8" t="inlineStr">
        <is>
          <t>NK17/16</t>
        </is>
      </c>
      <c r="D91" s="10" t="n">
        <v>3500</v>
      </c>
      <c r="E91" s="8" t="inlineStr">
        <is>
          <t>CAM FOLLOWER</t>
        </is>
      </c>
    </row>
    <row r="92">
      <c r="A92" s="8" t="inlineStr">
        <is>
          <t>40040036472</t>
        </is>
      </c>
      <c r="B92" s="8" t="inlineStr">
        <is>
          <t>BEARING</t>
        </is>
      </c>
      <c r="C92" s="8" t="inlineStr">
        <is>
          <t>NK20/16</t>
        </is>
      </c>
      <c r="D92" s="10" t="n">
        <v>3800</v>
      </c>
      <c r="E92" s="8" t="inlineStr">
        <is>
          <t>CAM FOLLOWER</t>
        </is>
      </c>
    </row>
    <row r="93">
      <c r="A93" s="8" t="inlineStr">
        <is>
          <t>40040036473</t>
        </is>
      </c>
      <c r="B93" s="8" t="inlineStr">
        <is>
          <t>BEARING</t>
        </is>
      </c>
      <c r="C93" s="8" t="inlineStr">
        <is>
          <t>HK0808</t>
        </is>
      </c>
      <c r="D93" s="10" t="n">
        <v>1200</v>
      </c>
      <c r="E93" s="8" t="inlineStr">
        <is>
          <t>CYLINDER</t>
        </is>
      </c>
    </row>
    <row r="94">
      <c r="A94" s="8" t="inlineStr">
        <is>
          <t>40040036474</t>
        </is>
      </c>
      <c r="B94" s="8" t="inlineStr">
        <is>
          <t>BEARING</t>
        </is>
      </c>
      <c r="C94" s="8" t="inlineStr">
        <is>
          <t>HK1010</t>
        </is>
      </c>
      <c r="D94" s="10" t="n">
        <v>1400</v>
      </c>
      <c r="E94" s="8" t="inlineStr">
        <is>
          <t>CYLINDER</t>
        </is>
      </c>
    </row>
    <row r="95">
      <c r="A95" s="8" t="inlineStr">
        <is>
          <t>40040036475</t>
        </is>
      </c>
      <c r="B95" s="8" t="inlineStr">
        <is>
          <t>BEARING</t>
        </is>
      </c>
      <c r="C95" s="8" t="inlineStr">
        <is>
          <t>HK1210</t>
        </is>
      </c>
      <c r="D95" s="10" t="n">
        <v>1500</v>
      </c>
      <c r="E95" s="8" t="inlineStr">
        <is>
          <t>CYLINDER</t>
        </is>
      </c>
    </row>
    <row r="96">
      <c r="A96" s="8" t="inlineStr">
        <is>
          <t>40040036476</t>
        </is>
      </c>
      <c r="B96" s="8" t="inlineStr">
        <is>
          <t>BEARING</t>
        </is>
      </c>
      <c r="C96" s="8" t="inlineStr">
        <is>
          <t>HK1212</t>
        </is>
      </c>
      <c r="D96" s="10" t="n">
        <v>1600</v>
      </c>
      <c r="E96" s="8" t="inlineStr">
        <is>
          <t>CYLINDER</t>
        </is>
      </c>
    </row>
    <row r="97">
      <c r="A97" s="8" t="inlineStr">
        <is>
          <t>40040036477</t>
        </is>
      </c>
      <c r="B97" s="8" t="inlineStr">
        <is>
          <t>BEARING</t>
        </is>
      </c>
      <c r="C97" s="8" t="inlineStr">
        <is>
          <t>HK1412</t>
        </is>
      </c>
      <c r="D97" s="10" t="n">
        <v>1800</v>
      </c>
      <c r="E97" s="8" t="inlineStr">
        <is>
          <t>CYLINDER</t>
        </is>
      </c>
    </row>
    <row r="98">
      <c r="A98" s="8" t="inlineStr">
        <is>
          <t>40040036478</t>
        </is>
      </c>
      <c r="B98" s="8" t="inlineStr">
        <is>
          <t>BEARING</t>
        </is>
      </c>
      <c r="C98" s="8" t="inlineStr">
        <is>
          <t>HK1512</t>
        </is>
      </c>
      <c r="D98" s="10" t="n">
        <v>1900</v>
      </c>
      <c r="E98" s="8" t="inlineStr">
        <is>
          <t>CYLINDER</t>
        </is>
      </c>
    </row>
    <row r="99">
      <c r="A99" s="8" t="inlineStr">
        <is>
          <t>40040036479</t>
        </is>
      </c>
      <c r="B99" s="8" t="inlineStr">
        <is>
          <t>BEARING</t>
        </is>
      </c>
      <c r="C99" s="8" t="inlineStr">
        <is>
          <t>HK1516</t>
        </is>
      </c>
      <c r="D99" s="10" t="n">
        <v>2100</v>
      </c>
      <c r="E99" s="8" t="inlineStr">
        <is>
          <t>CYLINDER</t>
        </is>
      </c>
    </row>
    <row r="100">
      <c r="A100" s="8" t="inlineStr">
        <is>
          <t>40040036480</t>
        </is>
      </c>
      <c r="B100" s="8" t="inlineStr">
        <is>
          <t>BEARING</t>
        </is>
      </c>
      <c r="C100" s="8" t="inlineStr">
        <is>
          <t>HK2010</t>
        </is>
      </c>
      <c r="D100" s="10" t="n">
        <v>2200</v>
      </c>
      <c r="E100" s="8" t="inlineStr">
        <is>
          <t>CYLINDER</t>
        </is>
      </c>
    </row>
    <row r="101">
      <c r="A101" s="8" t="inlineStr">
        <is>
          <t>40040036481</t>
        </is>
      </c>
      <c r="B101" s="8" t="inlineStr">
        <is>
          <t>BEARING</t>
        </is>
      </c>
      <c r="C101" s="8" t="inlineStr">
        <is>
          <t>2204ETN9</t>
        </is>
      </c>
      <c r="D101" s="10" t="n">
        <v>12000</v>
      </c>
      <c r="E101" s="8" t="inlineStr">
        <is>
          <t>VIBRATION MOTOR</t>
        </is>
      </c>
    </row>
    <row r="102">
      <c r="A102" s="8" t="inlineStr">
        <is>
          <t>40040036482</t>
        </is>
      </c>
      <c r="B102" s="8" t="inlineStr">
        <is>
          <t>BEARING</t>
        </is>
      </c>
      <c r="C102" s="8" t="inlineStr">
        <is>
          <t>2205ETN9</t>
        </is>
      </c>
      <c r="D102" s="10" t="n">
        <v>13500</v>
      </c>
      <c r="E102" s="8" t="inlineStr">
        <is>
          <t>VIBRATION MOTOR</t>
        </is>
      </c>
    </row>
    <row r="103">
      <c r="A103" s="8" t="inlineStr">
        <is>
          <t>40040036483</t>
        </is>
      </c>
      <c r="B103" s="8" t="inlineStr">
        <is>
          <t>BEARING</t>
        </is>
      </c>
      <c r="C103" s="8" t="inlineStr">
        <is>
          <t>2206ETN9</t>
        </is>
      </c>
      <c r="D103" s="10" t="n">
        <v>15000</v>
      </c>
      <c r="E103" s="8" t="inlineStr">
        <is>
          <t>VIBRATION MOTOR</t>
        </is>
      </c>
    </row>
    <row r="104">
      <c r="A104" s="8" t="inlineStr">
        <is>
          <t>40040036484</t>
        </is>
      </c>
      <c r="B104" s="8" t="inlineStr">
        <is>
          <t>BEARING</t>
        </is>
      </c>
      <c r="C104" s="8" t="inlineStr">
        <is>
          <t>2207ETN9</t>
        </is>
      </c>
      <c r="D104" s="10" t="n">
        <v>17000</v>
      </c>
      <c r="E104" s="8" t="inlineStr">
        <is>
          <t>VIBRATION MOTOR</t>
        </is>
      </c>
    </row>
    <row r="105">
      <c r="A105" s="8" t="inlineStr">
        <is>
          <t>40040036485</t>
        </is>
      </c>
      <c r="B105" s="8" t="inlineStr">
        <is>
          <t>BEARING</t>
        </is>
      </c>
      <c r="C105" s="8" t="inlineStr">
        <is>
          <t>2208ETN9</t>
        </is>
      </c>
      <c r="D105" s="10" t="n">
        <v>19000</v>
      </c>
      <c r="E105" s="8" t="inlineStr">
        <is>
          <t>VIBRATION MOTOR</t>
        </is>
      </c>
    </row>
    <row r="106">
      <c r="A106" s="8" t="inlineStr">
        <is>
          <t>40040036486</t>
        </is>
      </c>
      <c r="B106" s="8" t="inlineStr">
        <is>
          <t>BEARING</t>
        </is>
      </c>
      <c r="C106" s="8" t="inlineStr">
        <is>
          <t>2209ETN9</t>
        </is>
      </c>
      <c r="D106" s="10" t="n">
        <v>22000</v>
      </c>
      <c r="E106" s="8" t="inlineStr">
        <is>
          <t>VIBRATION MOTOR</t>
        </is>
      </c>
    </row>
    <row r="107">
      <c r="A107" s="8" t="inlineStr">
        <is>
          <t>40040036487</t>
        </is>
      </c>
      <c r="B107" s="8" t="inlineStr">
        <is>
          <t>BEARING</t>
        </is>
      </c>
      <c r="C107" s="8" t="inlineStr">
        <is>
          <t>2210ETN9</t>
        </is>
      </c>
      <c r="D107" s="10" t="n">
        <v>25000</v>
      </c>
      <c r="E107" s="8" t="inlineStr">
        <is>
          <t>VIBRATION MOTOR</t>
        </is>
      </c>
    </row>
    <row r="108">
      <c r="A108" s="8" t="inlineStr">
        <is>
          <t>40040036488</t>
        </is>
      </c>
      <c r="B108" s="8" t="inlineStr">
        <is>
          <t>BEARING</t>
        </is>
      </c>
      <c r="C108" s="8" t="inlineStr">
        <is>
          <t>22205E</t>
        </is>
      </c>
      <c r="D108" s="10" t="n">
        <v>18000</v>
      </c>
      <c r="E108" s="8" t="inlineStr">
        <is>
          <t>HEAVY EQUIPMENT</t>
        </is>
      </c>
    </row>
    <row r="109">
      <c r="A109" s="8" t="inlineStr">
        <is>
          <t>40040036489</t>
        </is>
      </c>
      <c r="B109" s="8" t="inlineStr">
        <is>
          <t>BEARING</t>
        </is>
      </c>
      <c r="C109" s="8" t="inlineStr">
        <is>
          <t>22206E</t>
        </is>
      </c>
      <c r="D109" s="10" t="n">
        <v>20000</v>
      </c>
      <c r="E109" s="8" t="inlineStr">
        <is>
          <t>HEAVY EQUIPMENT</t>
        </is>
      </c>
    </row>
    <row r="110">
      <c r="A110" s="8" t="inlineStr">
        <is>
          <t>40040036490</t>
        </is>
      </c>
      <c r="B110" s="8" t="inlineStr">
        <is>
          <t>BEARING</t>
        </is>
      </c>
      <c r="C110" s="8" t="inlineStr">
        <is>
          <t>22207E</t>
        </is>
      </c>
      <c r="D110" s="10" t="n">
        <v>23000</v>
      </c>
      <c r="E110" s="8" t="inlineStr">
        <is>
          <t>HEAVY EQUIPMENT</t>
        </is>
      </c>
    </row>
    <row r="111">
      <c r="A111" s="8" t="inlineStr">
        <is>
          <t>40040036491</t>
        </is>
      </c>
      <c r="B111" s="8" t="inlineStr">
        <is>
          <t>BEARING</t>
        </is>
      </c>
      <c r="C111" s="8" t="inlineStr">
        <is>
          <t>22208E</t>
        </is>
      </c>
      <c r="D111" s="10" t="n">
        <v>26000</v>
      </c>
      <c r="E111" s="8" t="inlineStr">
        <is>
          <t>HEAVY EQUIPMENT</t>
        </is>
      </c>
    </row>
    <row r="112">
      <c r="A112" s="8" t="inlineStr">
        <is>
          <t>40040036492</t>
        </is>
      </c>
      <c r="B112" s="8" t="inlineStr">
        <is>
          <t>BEARING</t>
        </is>
      </c>
      <c r="C112" s="8" t="inlineStr">
        <is>
          <t>22209E</t>
        </is>
      </c>
      <c r="D112" s="10" t="n">
        <v>29000</v>
      </c>
      <c r="E112" s="8" t="inlineStr">
        <is>
          <t>HEAVY EQUIPMENT</t>
        </is>
      </c>
    </row>
    <row r="113">
      <c r="A113" s="8" t="inlineStr">
        <is>
          <t>40040036493</t>
        </is>
      </c>
      <c r="B113" s="8" t="inlineStr">
        <is>
          <t>BEARING</t>
        </is>
      </c>
      <c r="C113" s="8" t="inlineStr">
        <is>
          <t>22210E</t>
        </is>
      </c>
      <c r="D113" s="10" t="n">
        <v>32000</v>
      </c>
      <c r="E113" s="8" t="inlineStr">
        <is>
          <t>HEAVY EQUIPMENT</t>
        </is>
      </c>
    </row>
    <row r="114">
      <c r="A114" s="8" t="inlineStr">
        <is>
          <t>40040036494</t>
        </is>
      </c>
      <c r="B114" s="8" t="inlineStr">
        <is>
          <t>BEARING</t>
        </is>
      </c>
      <c r="C114" s="8" t="inlineStr">
        <is>
          <t>22211E</t>
        </is>
      </c>
      <c r="D114" s="10" t="n">
        <v>36000</v>
      </c>
      <c r="E114" s="8" t="inlineStr">
        <is>
          <t>HEAVY EQUIPMENT</t>
        </is>
      </c>
    </row>
    <row r="115">
      <c r="A115" s="8" t="inlineStr">
        <is>
          <t>40040036495</t>
        </is>
      </c>
      <c r="B115" s="8" t="inlineStr">
        <is>
          <t>BEARING</t>
        </is>
      </c>
      <c r="C115" s="8" t="inlineStr">
        <is>
          <t>22212E</t>
        </is>
      </c>
      <c r="D115" s="10" t="n">
        <v>40000</v>
      </c>
      <c r="E115" s="8" t="inlineStr">
        <is>
          <t>HEAVY EQUIPMENT</t>
        </is>
      </c>
    </row>
    <row r="116">
      <c r="A116" s="8" t="inlineStr">
        <is>
          <t>40040036496</t>
        </is>
      </c>
      <c r="B116" s="8" t="inlineStr">
        <is>
          <t>BEARING</t>
        </is>
      </c>
      <c r="C116" s="8" t="inlineStr">
        <is>
          <t>23024E</t>
        </is>
      </c>
      <c r="D116" s="10" t="n">
        <v>85000</v>
      </c>
      <c r="E116" s="8" t="inlineStr">
        <is>
          <t>CRUSHER</t>
        </is>
      </c>
    </row>
    <row r="117">
      <c r="A117" s="8" t="inlineStr">
        <is>
          <t>40040036497</t>
        </is>
      </c>
      <c r="B117" s="8" t="inlineStr">
        <is>
          <t>BEARING</t>
        </is>
      </c>
      <c r="C117" s="8" t="inlineStr">
        <is>
          <t>23026E</t>
        </is>
      </c>
      <c r="D117" s="10" t="n">
        <v>95000</v>
      </c>
      <c r="E117" s="8" t="inlineStr">
        <is>
          <t>CRUSHER</t>
        </is>
      </c>
    </row>
    <row r="118">
      <c r="A118" s="8" t="inlineStr">
        <is>
          <t>40040036498</t>
        </is>
      </c>
      <c r="B118" s="8" t="inlineStr">
        <is>
          <t>BEARING</t>
        </is>
      </c>
      <c r="C118" s="8" t="inlineStr">
        <is>
          <t>23028E</t>
        </is>
      </c>
      <c r="D118" s="10" t="n">
        <v>110000</v>
      </c>
      <c r="E118" s="8" t="inlineStr">
        <is>
          <t>CRUSHER</t>
        </is>
      </c>
    </row>
    <row r="119">
      <c r="A119" s="8" t="inlineStr">
        <is>
          <t>40040036499</t>
        </is>
      </c>
      <c r="B119" s="8" t="inlineStr">
        <is>
          <t>BEARING</t>
        </is>
      </c>
      <c r="C119" s="8" t="inlineStr">
        <is>
          <t>23030E</t>
        </is>
      </c>
      <c r="D119" s="10" t="n">
        <v>125000</v>
      </c>
      <c r="E119" s="8" t="inlineStr">
        <is>
          <t>CRUSHER</t>
        </is>
      </c>
    </row>
    <row r="120">
      <c r="A120" s="8" t="inlineStr">
        <is>
          <t>40040036500</t>
        </is>
      </c>
      <c r="B120" s="8" t="inlineStr">
        <is>
          <t>BEARING</t>
        </is>
      </c>
      <c r="C120" s="8" t="inlineStr">
        <is>
          <t>7200B</t>
        </is>
      </c>
      <c r="D120" s="10" t="n">
        <v>4500</v>
      </c>
      <c r="E120" s="8" t="inlineStr">
        <is>
          <t>SPINDLE</t>
        </is>
      </c>
    </row>
    <row r="121">
      <c r="A121" s="8" t="inlineStr">
        <is>
          <t>40040036501</t>
        </is>
      </c>
      <c r="B121" s="8" t="inlineStr">
        <is>
          <t>BEARING</t>
        </is>
      </c>
      <c r="C121" s="8" t="inlineStr">
        <is>
          <t>7201B</t>
        </is>
      </c>
      <c r="D121" s="10" t="n">
        <v>4800</v>
      </c>
      <c r="E121" s="8" t="inlineStr">
        <is>
          <t>SPINDLE</t>
        </is>
      </c>
    </row>
    <row r="122">
      <c r="A122" s="8" t="inlineStr">
        <is>
          <t>40040036502</t>
        </is>
      </c>
      <c r="B122" s="8" t="inlineStr">
        <is>
          <t>BEARING</t>
        </is>
      </c>
      <c r="C122" s="8" t="inlineStr">
        <is>
          <t>7202B</t>
        </is>
      </c>
      <c r="D122" s="10" t="n">
        <v>5200</v>
      </c>
      <c r="E122" s="8" t="inlineStr">
        <is>
          <t>SPINDLE</t>
        </is>
      </c>
    </row>
    <row r="123">
      <c r="A123" s="8" t="inlineStr">
        <is>
          <t>40040036503</t>
        </is>
      </c>
      <c r="B123" s="8" t="inlineStr">
        <is>
          <t>BEARING</t>
        </is>
      </c>
      <c r="C123" s="8" t="inlineStr">
        <is>
          <t>7203B</t>
        </is>
      </c>
      <c r="D123" s="10" t="n">
        <v>5600</v>
      </c>
      <c r="E123" s="8" t="inlineStr">
        <is>
          <t>SPINDLE</t>
        </is>
      </c>
    </row>
    <row r="124">
      <c r="A124" s="8" t="inlineStr">
        <is>
          <t>40040036504</t>
        </is>
      </c>
      <c r="B124" s="8" t="inlineStr">
        <is>
          <t>BEARING</t>
        </is>
      </c>
      <c r="C124" s="8" t="inlineStr">
        <is>
          <t>7204B</t>
        </is>
      </c>
      <c r="D124" s="10" t="n">
        <v>6200</v>
      </c>
      <c r="E124" s="8" t="inlineStr">
        <is>
          <t>SPINDLE</t>
        </is>
      </c>
    </row>
    <row r="125">
      <c r="A125" s="8" t="inlineStr">
        <is>
          <t>40040036505</t>
        </is>
      </c>
      <c r="B125" s="8" t="inlineStr">
        <is>
          <t>BEARING</t>
        </is>
      </c>
      <c r="C125" s="8" t="inlineStr">
        <is>
          <t>7205B</t>
        </is>
      </c>
      <c r="D125" s="10" t="n">
        <v>7000</v>
      </c>
      <c r="E125" s="8" t="inlineStr">
        <is>
          <t>SPINDLE</t>
        </is>
      </c>
    </row>
    <row r="126">
      <c r="A126" s="8" t="inlineStr">
        <is>
          <t>40040036506</t>
        </is>
      </c>
      <c r="B126" s="8" t="inlineStr">
        <is>
          <t>BEARING</t>
        </is>
      </c>
      <c r="C126" s="8" t="inlineStr">
        <is>
          <t>7206B</t>
        </is>
      </c>
      <c r="D126" s="10" t="n">
        <v>8000</v>
      </c>
      <c r="E126" s="8" t="inlineStr">
        <is>
          <t>SPINDLE</t>
        </is>
      </c>
    </row>
    <row r="127">
      <c r="A127" s="8" t="inlineStr">
        <is>
          <t>40040036507</t>
        </is>
      </c>
      <c r="B127" s="8" t="inlineStr">
        <is>
          <t>BEARING</t>
        </is>
      </c>
      <c r="C127" s="8" t="inlineStr">
        <is>
          <t>7207B</t>
        </is>
      </c>
      <c r="D127" s="10" t="n">
        <v>9200</v>
      </c>
      <c r="E127" s="8" t="inlineStr">
        <is>
          <t>SPINDLE</t>
        </is>
      </c>
    </row>
    <row r="128">
      <c r="A128" s="8" t="inlineStr">
        <is>
          <t>40040036508</t>
        </is>
      </c>
      <c r="B128" s="8" t="inlineStr">
        <is>
          <t>BEARING</t>
        </is>
      </c>
      <c r="C128" s="8" t="inlineStr">
        <is>
          <t>7208B</t>
        </is>
      </c>
      <c r="D128" s="10" t="n">
        <v>10500</v>
      </c>
      <c r="E128" s="8" t="inlineStr">
        <is>
          <t>SPINDLE</t>
        </is>
      </c>
    </row>
    <row r="129">
      <c r="A129" s="8" t="inlineStr">
        <is>
          <t>40040036510</t>
        </is>
      </c>
      <c r="B129" s="8" t="inlineStr">
        <is>
          <t>BEARING</t>
        </is>
      </c>
      <c r="C129" s="8" t="inlineStr">
        <is>
          <t>30204</t>
        </is>
      </c>
      <c r="D129" s="10" t="n">
        <v>5000</v>
      </c>
      <c r="E129" s="8" t="inlineStr">
        <is>
          <t>WHEEL</t>
        </is>
      </c>
    </row>
    <row r="130">
      <c r="A130" s="8" t="inlineStr">
        <is>
          <t>40040036511</t>
        </is>
      </c>
      <c r="B130" s="8" t="inlineStr">
        <is>
          <t>BEARING</t>
        </is>
      </c>
      <c r="C130" s="8" t="inlineStr">
        <is>
          <t>30205</t>
        </is>
      </c>
      <c r="D130" s="10" t="n">
        <v>5500</v>
      </c>
      <c r="E130" s="8" t="inlineStr">
        <is>
          <t>WHEEL</t>
        </is>
      </c>
    </row>
    <row r="131">
      <c r="A131" s="8" t="inlineStr">
        <is>
          <t>40040036512</t>
        </is>
      </c>
      <c r="B131" s="8" t="inlineStr">
        <is>
          <t>BEARING</t>
        </is>
      </c>
      <c r="C131" s="8" t="inlineStr">
        <is>
          <t>30206</t>
        </is>
      </c>
      <c r="D131" s="10" t="n">
        <v>6200</v>
      </c>
      <c r="E131" s="8" t="inlineStr">
        <is>
          <t>WHEEL</t>
        </is>
      </c>
    </row>
    <row r="132">
      <c r="A132" s="8" t="inlineStr">
        <is>
          <t>40040036513</t>
        </is>
      </c>
      <c r="B132" s="8" t="inlineStr">
        <is>
          <t>BEARING</t>
        </is>
      </c>
      <c r="C132" s="8" t="inlineStr">
        <is>
          <t>30207</t>
        </is>
      </c>
      <c r="D132" s="10" t="n">
        <v>7000</v>
      </c>
      <c r="E132" s="8" t="inlineStr">
        <is>
          <t>WHEEL</t>
        </is>
      </c>
    </row>
    <row r="133">
      <c r="A133" s="8" t="inlineStr">
        <is>
          <t>40040036514</t>
        </is>
      </c>
      <c r="B133" s="8" t="inlineStr">
        <is>
          <t>BEARING</t>
        </is>
      </c>
      <c r="C133" s="8" t="inlineStr">
        <is>
          <t>30208</t>
        </is>
      </c>
      <c r="D133" s="10" t="n">
        <v>8000</v>
      </c>
      <c r="E133" s="8" t="inlineStr">
        <is>
          <t>WHEEL</t>
        </is>
      </c>
    </row>
    <row r="134">
      <c r="A134" s="8" t="inlineStr">
        <is>
          <t>40040036515</t>
        </is>
      </c>
      <c r="B134" s="8" t="inlineStr">
        <is>
          <t>BEARING</t>
        </is>
      </c>
      <c r="C134" s="8" t="inlineStr">
        <is>
          <t>30209</t>
        </is>
      </c>
      <c r="D134" s="10" t="n">
        <v>9000</v>
      </c>
      <c r="E134" s="8" t="inlineStr">
        <is>
          <t>WHEEL</t>
        </is>
      </c>
    </row>
    <row r="135">
      <c r="A135" s="8" t="inlineStr">
        <is>
          <t>40040036516</t>
        </is>
      </c>
      <c r="B135" s="8" t="inlineStr">
        <is>
          <t>BEARING</t>
        </is>
      </c>
      <c r="C135" s="8" t="inlineStr">
        <is>
          <t>30210</t>
        </is>
      </c>
      <c r="D135" s="10" t="n">
        <v>10000</v>
      </c>
      <c r="E135" s="8" t="inlineStr">
        <is>
          <t>WHEEL</t>
        </is>
      </c>
    </row>
    <row r="136">
      <c r="A136" s="8" t="inlineStr">
        <is>
          <t>40040036517</t>
        </is>
      </c>
      <c r="B136" s="8" t="inlineStr">
        <is>
          <t>BEARING</t>
        </is>
      </c>
      <c r="C136" s="8" t="inlineStr">
        <is>
          <t>32204</t>
        </is>
      </c>
      <c r="D136" s="10" t="n">
        <v>6500</v>
      </c>
      <c r="E136" s="8" t="inlineStr">
        <is>
          <t>GEARBOX</t>
        </is>
      </c>
    </row>
    <row r="137">
      <c r="A137" s="8" t="inlineStr">
        <is>
          <t>40040036518</t>
        </is>
      </c>
      <c r="B137" s="8" t="inlineStr">
        <is>
          <t>BEARING</t>
        </is>
      </c>
      <c r="C137" s="8" t="inlineStr">
        <is>
          <t>32205</t>
        </is>
      </c>
      <c r="D137" s="10" t="n">
        <v>7200</v>
      </c>
      <c r="E137" s="8" t="inlineStr">
        <is>
          <t>GEARBOX</t>
        </is>
      </c>
    </row>
    <row r="138">
      <c r="A138" s="8" t="inlineStr">
        <is>
          <t>40040036519</t>
        </is>
      </c>
      <c r="B138" s="8" t="inlineStr">
        <is>
          <t>BEARING</t>
        </is>
      </c>
      <c r="C138" s="8" t="inlineStr">
        <is>
          <t>32206</t>
        </is>
      </c>
      <c r="D138" s="10" t="n">
        <v>8000</v>
      </c>
      <c r="E138" s="8" t="inlineStr">
        <is>
          <t>GEARBOX</t>
        </is>
      </c>
    </row>
    <row r="139">
      <c r="A139" s="8" t="inlineStr">
        <is>
          <t>40040036520</t>
        </is>
      </c>
      <c r="B139" s="8" t="inlineStr">
        <is>
          <t>BEARING</t>
        </is>
      </c>
      <c r="C139" s="8" t="inlineStr">
        <is>
          <t>32207</t>
        </is>
      </c>
      <c r="D139" s="10" t="n">
        <v>9200</v>
      </c>
      <c r="E139" s="8" t="inlineStr">
        <is>
          <t>GEARBOX</t>
        </is>
      </c>
    </row>
    <row r="140">
      <c r="A140" s="8" t="inlineStr">
        <is>
          <t>40040036521</t>
        </is>
      </c>
      <c r="B140" s="8" t="inlineStr">
        <is>
          <t>BEARING</t>
        </is>
      </c>
      <c r="C140" s="8" t="inlineStr">
        <is>
          <t>32208</t>
        </is>
      </c>
      <c r="D140" s="10" t="n">
        <v>10500</v>
      </c>
      <c r="E140" s="8" t="inlineStr">
        <is>
          <t>GEARBOX</t>
        </is>
      </c>
    </row>
    <row r="141">
      <c r="A141" s="8" t="inlineStr">
        <is>
          <t>55040036601</t>
        </is>
      </c>
      <c r="B141" s="8" t="inlineStr">
        <is>
          <t>OIL SEAL</t>
        </is>
      </c>
      <c r="C141" s="8" t="inlineStr">
        <is>
          <t>TC 20×35×7</t>
        </is>
      </c>
      <c r="D141" s="10" t="n">
        <v>1800</v>
      </c>
      <c r="E141" s="8" t="inlineStr">
        <is>
          <t>PUMP SHAFT</t>
        </is>
      </c>
    </row>
    <row r="142">
      <c r="A142" s="8" t="inlineStr">
        <is>
          <t>55040036602</t>
        </is>
      </c>
      <c r="B142" s="8" t="inlineStr">
        <is>
          <t>OIL SEAL</t>
        </is>
      </c>
      <c r="C142" s="8" t="inlineStr">
        <is>
          <t>TC 25×40×7</t>
        </is>
      </c>
      <c r="D142" s="10" t="n">
        <v>2000</v>
      </c>
      <c r="E142" s="8" t="inlineStr">
        <is>
          <t>PUMP SHAFT</t>
        </is>
      </c>
    </row>
    <row r="143">
      <c r="A143" s="8" t="inlineStr">
        <is>
          <t>55040036603</t>
        </is>
      </c>
      <c r="B143" s="8" t="inlineStr">
        <is>
          <t>OIL SEAL</t>
        </is>
      </c>
      <c r="C143" s="8" t="inlineStr">
        <is>
          <t>TC 25×42×7</t>
        </is>
      </c>
      <c r="D143" s="10" t="n">
        <v>2100</v>
      </c>
      <c r="E143" s="8" t="inlineStr">
        <is>
          <t>MOTOR SHAFT</t>
        </is>
      </c>
    </row>
    <row r="144">
      <c r="A144" s="8" t="inlineStr">
        <is>
          <t>55040036604</t>
        </is>
      </c>
      <c r="B144" s="8" t="inlineStr">
        <is>
          <t>OIL SEAL</t>
        </is>
      </c>
      <c r="C144" s="8" t="inlineStr">
        <is>
          <t>TC 30×45×8</t>
        </is>
      </c>
      <c r="D144" s="10" t="n">
        <v>2300</v>
      </c>
      <c r="E144" s="8" t="inlineStr">
        <is>
          <t>MOTOR SHAFT</t>
        </is>
      </c>
    </row>
    <row r="145">
      <c r="A145" s="8" t="inlineStr">
        <is>
          <t>55040036605</t>
        </is>
      </c>
      <c r="B145" s="8" t="inlineStr">
        <is>
          <t>OIL SEAL</t>
        </is>
      </c>
      <c r="C145" s="8" t="inlineStr">
        <is>
          <t>TC 30×47×7</t>
        </is>
      </c>
      <c r="D145" s="10" t="n">
        <v>2400</v>
      </c>
      <c r="E145" s="8" t="inlineStr">
        <is>
          <t>GEARBOX</t>
        </is>
      </c>
    </row>
    <row r="146">
      <c r="A146" s="8" t="inlineStr">
        <is>
          <t>55040036606</t>
        </is>
      </c>
      <c r="B146" s="8" t="inlineStr">
        <is>
          <t>OIL SEAL</t>
        </is>
      </c>
      <c r="C146" s="8" t="inlineStr">
        <is>
          <t>TC 32×45×8</t>
        </is>
      </c>
      <c r="D146" s="10" t="n">
        <v>2500</v>
      </c>
      <c r="E146" s="8" t="inlineStr">
        <is>
          <t>GEARBOX</t>
        </is>
      </c>
    </row>
    <row r="147">
      <c r="A147" s="8" t="inlineStr">
        <is>
          <t>55040036607</t>
        </is>
      </c>
      <c r="B147" s="8" t="inlineStr">
        <is>
          <t>OIL SEAL</t>
        </is>
      </c>
      <c r="C147" s="8" t="inlineStr">
        <is>
          <t>TC 35×50×8</t>
        </is>
      </c>
      <c r="D147" s="10" t="n">
        <v>2800</v>
      </c>
      <c r="E147" s="8" t="inlineStr">
        <is>
          <t>GEARBOX</t>
        </is>
      </c>
    </row>
    <row r="148">
      <c r="A148" s="8" t="inlineStr">
        <is>
          <t>55040036608</t>
        </is>
      </c>
      <c r="B148" s="8" t="inlineStr">
        <is>
          <t>OIL SEAL</t>
        </is>
      </c>
      <c r="C148" s="8" t="inlineStr">
        <is>
          <t>TC 35×52×8</t>
        </is>
      </c>
      <c r="D148" s="10" t="n">
        <v>2900</v>
      </c>
      <c r="E148" s="8" t="inlineStr">
        <is>
          <t>PUMP</t>
        </is>
      </c>
    </row>
    <row r="149">
      <c r="A149" s="8" t="inlineStr">
        <is>
          <t>55040036609</t>
        </is>
      </c>
      <c r="B149" s="8" t="inlineStr">
        <is>
          <t>OIL SEAL</t>
        </is>
      </c>
      <c r="C149" s="8" t="inlineStr">
        <is>
          <t>TC 38×55×8</t>
        </is>
      </c>
      <c r="D149" s="10" t="n">
        <v>3200</v>
      </c>
      <c r="E149" s="8" t="inlineStr">
        <is>
          <t>PUMP</t>
        </is>
      </c>
    </row>
    <row r="150">
      <c r="A150" s="8" t="inlineStr">
        <is>
          <t>55040036610</t>
        </is>
      </c>
      <c r="B150" s="8" t="inlineStr">
        <is>
          <t>OIL SEAL</t>
        </is>
      </c>
      <c r="C150" s="8" t="inlineStr">
        <is>
          <t>TC 40×55×8</t>
        </is>
      </c>
      <c r="D150" s="10" t="n">
        <v>3300</v>
      </c>
      <c r="E150" s="8" t="inlineStr">
        <is>
          <t>PUMP</t>
        </is>
      </c>
    </row>
    <row r="151">
      <c r="A151" s="8" t="inlineStr">
        <is>
          <t>55040036611</t>
        </is>
      </c>
      <c r="B151" s="8" t="inlineStr">
        <is>
          <t>OIL SEAL</t>
        </is>
      </c>
      <c r="C151" s="8" t="inlineStr">
        <is>
          <t>TC 40×58×8</t>
        </is>
      </c>
      <c r="D151" s="10" t="n">
        <v>3500</v>
      </c>
      <c r="E151" s="8" t="inlineStr">
        <is>
          <t>MOTOR</t>
        </is>
      </c>
    </row>
    <row r="152">
      <c r="A152" s="8" t="inlineStr">
        <is>
          <t>55040036612</t>
        </is>
      </c>
      <c r="B152" s="8" t="inlineStr">
        <is>
          <t>OIL SEAL</t>
        </is>
      </c>
      <c r="C152" s="8" t="inlineStr">
        <is>
          <t>TC 42×60×8</t>
        </is>
      </c>
      <c r="D152" s="10" t="n">
        <v>3700</v>
      </c>
      <c r="E152" s="8" t="inlineStr">
        <is>
          <t>MOTOR</t>
        </is>
      </c>
    </row>
    <row r="153">
      <c r="A153" s="8" t="inlineStr">
        <is>
          <t>55040036613</t>
        </is>
      </c>
      <c r="B153" s="8" t="inlineStr">
        <is>
          <t>OIL SEAL</t>
        </is>
      </c>
      <c r="C153" s="8" t="inlineStr">
        <is>
          <t>TC 45×62×8</t>
        </is>
      </c>
      <c r="D153" s="10" t="n">
        <v>3900</v>
      </c>
      <c r="E153" s="8" t="inlineStr">
        <is>
          <t>CYLINDER</t>
        </is>
      </c>
    </row>
    <row r="154">
      <c r="A154" s="8" t="inlineStr">
        <is>
          <t>55040036614</t>
        </is>
      </c>
      <c r="B154" s="8" t="inlineStr">
        <is>
          <t>OIL SEAL</t>
        </is>
      </c>
      <c r="C154" s="8" t="inlineStr">
        <is>
          <t>TC 45×65×10</t>
        </is>
      </c>
      <c r="D154" s="10" t="n">
        <v>4200</v>
      </c>
      <c r="E154" s="8" t="inlineStr">
        <is>
          <t>CYLINDER</t>
        </is>
      </c>
    </row>
    <row r="155">
      <c r="A155" s="8" t="inlineStr">
        <is>
          <t>55040036615</t>
        </is>
      </c>
      <c r="B155" s="8" t="inlineStr">
        <is>
          <t>OIL SEAL</t>
        </is>
      </c>
      <c r="C155" s="8" t="inlineStr">
        <is>
          <t>TC 48×65×10</t>
        </is>
      </c>
      <c r="D155" s="10" t="n">
        <v>4400</v>
      </c>
      <c r="E155" s="8" t="inlineStr">
        <is>
          <t>CYLINDER</t>
        </is>
      </c>
    </row>
    <row r="156">
      <c r="A156" s="8" t="inlineStr">
        <is>
          <t>55040036616</t>
        </is>
      </c>
      <c r="B156" s="8" t="inlineStr">
        <is>
          <t>OIL SEAL</t>
        </is>
      </c>
      <c r="C156" s="8" t="inlineStr">
        <is>
          <t>SC 50×68×10</t>
        </is>
      </c>
      <c r="D156" s="10" t="n">
        <v>4600</v>
      </c>
      <c r="E156" s="8" t="inlineStr">
        <is>
          <t>PUMP</t>
        </is>
      </c>
    </row>
    <row r="157">
      <c r="A157" s="8" t="inlineStr">
        <is>
          <t>55040036617</t>
        </is>
      </c>
      <c r="B157" s="8" t="inlineStr">
        <is>
          <t>OIL SEAL</t>
        </is>
      </c>
      <c r="C157" s="8" t="inlineStr">
        <is>
          <t>SC 50×72×10</t>
        </is>
      </c>
      <c r="D157" s="10" t="n">
        <v>4900</v>
      </c>
      <c r="E157" s="8" t="inlineStr">
        <is>
          <t>PUMP</t>
        </is>
      </c>
    </row>
    <row r="158">
      <c r="A158" s="8" t="inlineStr">
        <is>
          <t>55040036618</t>
        </is>
      </c>
      <c r="B158" s="8" t="inlineStr">
        <is>
          <t>OIL SEAL</t>
        </is>
      </c>
      <c r="C158" s="8" t="inlineStr">
        <is>
          <t>SC 55×72×10</t>
        </is>
      </c>
      <c r="D158" s="10" t="n">
        <v>5200</v>
      </c>
      <c r="E158" s="8" t="inlineStr">
        <is>
          <t>GEARBOX</t>
        </is>
      </c>
    </row>
    <row r="159">
      <c r="A159" s="8" t="inlineStr">
        <is>
          <t>55040036619</t>
        </is>
      </c>
      <c r="B159" s="8" t="inlineStr">
        <is>
          <t>OIL SEAL</t>
        </is>
      </c>
      <c r="C159" s="8" t="inlineStr">
        <is>
          <t>SC 55×75×10</t>
        </is>
      </c>
      <c r="D159" s="10" t="n">
        <v>5500</v>
      </c>
      <c r="E159" s="8" t="inlineStr">
        <is>
          <t>GEARBOX</t>
        </is>
      </c>
    </row>
    <row r="160">
      <c r="A160" s="8" t="inlineStr">
        <is>
          <t>55040036620</t>
        </is>
      </c>
      <c r="B160" s="8" t="inlineStr">
        <is>
          <t>OIL SEAL</t>
        </is>
      </c>
      <c r="C160" s="8" t="inlineStr">
        <is>
          <t>SC 60×80×10</t>
        </is>
      </c>
      <c r="D160" s="10" t="n">
        <v>5800</v>
      </c>
      <c r="E160" s="8" t="inlineStr">
        <is>
          <t>MOTOR</t>
        </is>
      </c>
    </row>
    <row r="161">
      <c r="A161" s="8" t="inlineStr">
        <is>
          <t>55040036621</t>
        </is>
      </c>
      <c r="B161" s="8" t="inlineStr">
        <is>
          <t>OIL SEAL</t>
        </is>
      </c>
      <c r="C161" s="8" t="inlineStr">
        <is>
          <t>SC 60×82×12</t>
        </is>
      </c>
      <c r="D161" s="10" t="n">
        <v>6200</v>
      </c>
      <c r="E161" s="8" t="inlineStr">
        <is>
          <t>MOTOR</t>
        </is>
      </c>
    </row>
    <row r="162">
      <c r="A162" s="8" t="inlineStr">
        <is>
          <t>55040036622</t>
        </is>
      </c>
      <c r="B162" s="8" t="inlineStr">
        <is>
          <t>OIL SEAL</t>
        </is>
      </c>
      <c r="C162" s="8" t="inlineStr">
        <is>
          <t>SC 65×85×10</t>
        </is>
      </c>
      <c r="D162" s="10" t="n">
        <v>6500</v>
      </c>
      <c r="E162" s="8" t="inlineStr">
        <is>
          <t>MOTOR</t>
        </is>
      </c>
    </row>
    <row r="163">
      <c r="A163" s="8" t="inlineStr">
        <is>
          <t>55040036623</t>
        </is>
      </c>
      <c r="B163" s="8" t="inlineStr">
        <is>
          <t>OIL SEAL</t>
        </is>
      </c>
      <c r="C163" s="8" t="inlineStr">
        <is>
          <t>SC 70×90×10</t>
        </is>
      </c>
      <c r="D163" s="10" t="n">
        <v>7000</v>
      </c>
      <c r="E163" s="8" t="inlineStr">
        <is>
          <t>REDUCER</t>
        </is>
      </c>
    </row>
    <row r="164">
      <c r="A164" s="8" t="inlineStr">
        <is>
          <t>55040036624</t>
        </is>
      </c>
      <c r="B164" s="8" t="inlineStr">
        <is>
          <t>OIL SEAL</t>
        </is>
      </c>
      <c r="C164" s="8" t="inlineStr">
        <is>
          <t>SC 75×95×12</t>
        </is>
      </c>
      <c r="D164" s="10" t="n">
        <v>7500</v>
      </c>
      <c r="E164" s="8" t="inlineStr">
        <is>
          <t>REDUCER</t>
        </is>
      </c>
    </row>
    <row r="165">
      <c r="A165" s="8" t="inlineStr">
        <is>
          <t>55040036625</t>
        </is>
      </c>
      <c r="B165" s="8" t="inlineStr">
        <is>
          <t>OIL SEAL</t>
        </is>
      </c>
      <c r="C165" s="8" t="inlineStr">
        <is>
          <t>SC 80×100×12</t>
        </is>
      </c>
      <c r="D165" s="10" t="n">
        <v>8000</v>
      </c>
      <c r="E165" s="8" t="inlineStr">
        <is>
          <t>REDUCER</t>
        </is>
      </c>
    </row>
    <row r="166">
      <c r="A166" s="8" t="inlineStr">
        <is>
          <t>55040036626</t>
        </is>
      </c>
      <c r="B166" s="8" t="inlineStr">
        <is>
          <t>OIL SEAL</t>
        </is>
      </c>
      <c r="C166" s="8" t="inlineStr">
        <is>
          <t>VC 25×35×6</t>
        </is>
      </c>
      <c r="D166" s="10" t="n">
        <v>2200</v>
      </c>
      <c r="E166" s="8" t="inlineStr">
        <is>
          <t>VALVE</t>
        </is>
      </c>
    </row>
    <row r="167">
      <c r="A167" s="8" t="inlineStr">
        <is>
          <t>55040036627</t>
        </is>
      </c>
      <c r="B167" s="8" t="inlineStr">
        <is>
          <t>OIL SEAL</t>
        </is>
      </c>
      <c r="C167" s="8" t="inlineStr">
        <is>
          <t>VC 30×40×7</t>
        </is>
      </c>
      <c r="D167" s="10" t="n">
        <v>2500</v>
      </c>
      <c r="E167" s="8" t="inlineStr">
        <is>
          <t>VALVE</t>
        </is>
      </c>
    </row>
    <row r="168">
      <c r="A168" s="8" t="inlineStr">
        <is>
          <t>55040036628</t>
        </is>
      </c>
      <c r="B168" s="8" t="inlineStr">
        <is>
          <t>OIL SEAL</t>
        </is>
      </c>
      <c r="C168" s="8" t="inlineStr">
        <is>
          <t>VC 35×47×7</t>
        </is>
      </c>
      <c r="D168" s="10" t="n">
        <v>2800</v>
      </c>
      <c r="E168" s="8" t="inlineStr">
        <is>
          <t>VALVE</t>
        </is>
      </c>
    </row>
    <row r="169">
      <c r="A169" s="8" t="inlineStr">
        <is>
          <t>55040036629</t>
        </is>
      </c>
      <c r="B169" s="8" t="inlineStr">
        <is>
          <t>OIL SEAL</t>
        </is>
      </c>
      <c r="C169" s="8" t="inlineStr">
        <is>
          <t>VC 40×52×8</t>
        </is>
      </c>
      <c r="D169" s="10" t="n">
        <v>3200</v>
      </c>
      <c r="E169" s="8" t="inlineStr">
        <is>
          <t>HYDRAULIC</t>
        </is>
      </c>
    </row>
    <row r="170">
      <c r="A170" s="8" t="inlineStr">
        <is>
          <t>55040036630</t>
        </is>
      </c>
      <c r="B170" s="8" t="inlineStr">
        <is>
          <t>OIL SEAL</t>
        </is>
      </c>
      <c r="C170" s="8" t="inlineStr">
        <is>
          <t>VC 45×60×8</t>
        </is>
      </c>
      <c r="D170" s="10" t="n">
        <v>3600</v>
      </c>
      <c r="E170" s="8" t="inlineStr">
        <is>
          <t>HYDRAULIC</t>
        </is>
      </c>
    </row>
    <row r="171">
      <c r="A171" s="8" t="inlineStr">
        <is>
          <t>33040036701</t>
        </is>
      </c>
      <c r="B171" s="8" t="inlineStr">
        <is>
          <t>COLLAR</t>
        </is>
      </c>
      <c r="C171" s="8" t="inlineStr">
        <is>
          <t>IR 10×14×13</t>
        </is>
      </c>
      <c r="D171" s="10" t="n">
        <v>2500</v>
      </c>
      <c r="E171" s="8" t="inlineStr">
        <is>
          <t>NEEDLE BEARING</t>
        </is>
      </c>
    </row>
    <row r="172">
      <c r="A172" s="8" t="inlineStr">
        <is>
          <t>33040036702</t>
        </is>
      </c>
      <c r="B172" s="8" t="inlineStr">
        <is>
          <t>COLLAR</t>
        </is>
      </c>
      <c r="C172" s="8" t="inlineStr">
        <is>
          <t>IR 12×15×13</t>
        </is>
      </c>
      <c r="D172" s="10" t="n">
        <v>2600</v>
      </c>
      <c r="E172" s="8" t="inlineStr">
        <is>
          <t>NEEDLE BEARING</t>
        </is>
      </c>
    </row>
    <row r="173">
      <c r="A173" s="8" t="inlineStr">
        <is>
          <t>33040036703</t>
        </is>
      </c>
      <c r="B173" s="8" t="inlineStr">
        <is>
          <t>COLLAR</t>
        </is>
      </c>
      <c r="C173" s="8" t="inlineStr">
        <is>
          <t>IR 12×16×13</t>
        </is>
      </c>
      <c r="D173" s="10" t="n">
        <v>2700</v>
      </c>
      <c r="E173" s="8" t="inlineStr">
        <is>
          <t>NEEDLE BEARING</t>
        </is>
      </c>
    </row>
    <row r="174">
      <c r="A174" s="8" t="inlineStr">
        <is>
          <t>33040036704</t>
        </is>
      </c>
      <c r="B174" s="8" t="inlineStr">
        <is>
          <t>COLLAR</t>
        </is>
      </c>
      <c r="C174" s="8" t="inlineStr">
        <is>
          <t>IR 15×18×16</t>
        </is>
      </c>
      <c r="D174" s="10" t="n">
        <v>2900</v>
      </c>
      <c r="E174" s="8" t="inlineStr">
        <is>
          <t>NEEDLE BEARING</t>
        </is>
      </c>
    </row>
    <row r="175">
      <c r="A175" s="8" t="inlineStr">
        <is>
          <t>33040036705</t>
        </is>
      </c>
      <c r="B175" s="8" t="inlineStr">
        <is>
          <t>COLLAR</t>
        </is>
      </c>
      <c r="C175" s="8" t="inlineStr">
        <is>
          <t>IR 15×19×16</t>
        </is>
      </c>
      <c r="D175" s="10" t="n">
        <v>3000</v>
      </c>
      <c r="E175" s="8" t="inlineStr">
        <is>
          <t>NEEDLE BEARING</t>
        </is>
      </c>
    </row>
    <row r="176">
      <c r="A176" s="8" t="inlineStr">
        <is>
          <t>33040036706</t>
        </is>
      </c>
      <c r="B176" s="8" t="inlineStr">
        <is>
          <t>COLLAR</t>
        </is>
      </c>
      <c r="C176" s="8" t="inlineStr">
        <is>
          <t>IR 17×20×16</t>
        </is>
      </c>
      <c r="D176" s="10" t="n">
        <v>3200</v>
      </c>
      <c r="E176" s="8" t="inlineStr">
        <is>
          <t>NEEDLE BEARING</t>
        </is>
      </c>
    </row>
    <row r="177">
      <c r="A177" s="8" t="inlineStr">
        <is>
          <t>33040036707</t>
        </is>
      </c>
      <c r="B177" s="8" t="inlineStr">
        <is>
          <t>COLLAR</t>
        </is>
      </c>
      <c r="C177" s="8" t="inlineStr">
        <is>
          <t>IR 17×21×16</t>
        </is>
      </c>
      <c r="D177" s="10" t="n">
        <v>3300</v>
      </c>
      <c r="E177" s="8" t="inlineStr">
        <is>
          <t>NEEDLE BEARING</t>
        </is>
      </c>
    </row>
    <row r="178">
      <c r="A178" s="8" t="inlineStr">
        <is>
          <t>33040036708</t>
        </is>
      </c>
      <c r="B178" s="8" t="inlineStr">
        <is>
          <t>COLLAR</t>
        </is>
      </c>
      <c r="C178" s="8" t="inlineStr">
        <is>
          <t>IR 20×24×16</t>
        </is>
      </c>
      <c r="D178" s="10" t="n">
        <v>3500</v>
      </c>
      <c r="E178" s="8" t="inlineStr">
        <is>
          <t>NEEDLE BEARING</t>
        </is>
      </c>
    </row>
    <row r="179">
      <c r="A179" s="8" t="inlineStr">
        <is>
          <t>33040036709</t>
        </is>
      </c>
      <c r="B179" s="8" t="inlineStr">
        <is>
          <t>COLLAR</t>
        </is>
      </c>
      <c r="C179" s="8" t="inlineStr">
        <is>
          <t>IR 20×25×20</t>
        </is>
      </c>
      <c r="D179" s="10" t="n">
        <v>3800</v>
      </c>
      <c r="E179" s="8" t="inlineStr">
        <is>
          <t>NEEDLE BEARING</t>
        </is>
      </c>
    </row>
    <row r="180">
      <c r="A180" s="8" t="inlineStr">
        <is>
          <t>33040036710</t>
        </is>
      </c>
      <c r="B180" s="8" t="inlineStr">
        <is>
          <t>COLLAR</t>
        </is>
      </c>
      <c r="C180" s="8" t="inlineStr">
        <is>
          <t>IR 22×26×16</t>
        </is>
      </c>
      <c r="D180" s="10" t="n">
        <v>3600</v>
      </c>
      <c r="E180" s="8" t="inlineStr">
        <is>
          <t>NEEDLE BEARING</t>
        </is>
      </c>
    </row>
    <row r="181">
      <c r="A181" s="8" t="inlineStr">
        <is>
          <t>33040036711</t>
        </is>
      </c>
      <c r="B181" s="8" t="inlineStr">
        <is>
          <t>COLLAR</t>
        </is>
      </c>
      <c r="C181" s="8" t="inlineStr">
        <is>
          <t>IR 25×29×16</t>
        </is>
      </c>
      <c r="D181" s="10" t="n">
        <v>3900</v>
      </c>
      <c r="E181" s="8" t="inlineStr">
        <is>
          <t>NEEDLE BEARING</t>
        </is>
      </c>
    </row>
    <row r="182">
      <c r="A182" s="8" t="inlineStr">
        <is>
          <t>33040036712</t>
        </is>
      </c>
      <c r="B182" s="8" t="inlineStr">
        <is>
          <t>COLLAR</t>
        </is>
      </c>
      <c r="C182" s="8" t="inlineStr">
        <is>
          <t>IR 25×30×20</t>
        </is>
      </c>
      <c r="D182" s="10" t="n">
        <v>4200</v>
      </c>
      <c r="E182" s="8" t="inlineStr">
        <is>
          <t>NEEDLE BEARING</t>
        </is>
      </c>
    </row>
    <row r="183">
      <c r="A183" s="8" t="inlineStr">
        <is>
          <t>33040036713</t>
        </is>
      </c>
      <c r="B183" s="8" t="inlineStr">
        <is>
          <t>COLLAR</t>
        </is>
      </c>
      <c r="C183" s="8" t="inlineStr">
        <is>
          <t>IR 28×32×17</t>
        </is>
      </c>
      <c r="D183" s="10" t="n">
        <v>4000</v>
      </c>
      <c r="E183" s="8" t="inlineStr">
        <is>
          <t>NEEDLE BEARING</t>
        </is>
      </c>
    </row>
    <row r="184">
      <c r="A184" s="8" t="inlineStr">
        <is>
          <t>33040036714</t>
        </is>
      </c>
      <c r="B184" s="8" t="inlineStr">
        <is>
          <t>COLLAR</t>
        </is>
      </c>
      <c r="C184" s="8" t="inlineStr">
        <is>
          <t>IR 30×34×17</t>
        </is>
      </c>
      <c r="D184" s="10" t="n">
        <v>4300</v>
      </c>
      <c r="E184" s="8" t="inlineStr">
        <is>
          <t>NEEDLE BEARING</t>
        </is>
      </c>
    </row>
    <row r="185">
      <c r="A185" s="8" t="inlineStr">
        <is>
          <t>33040036715</t>
        </is>
      </c>
      <c r="B185" s="8" t="inlineStr">
        <is>
          <t>COLLAR</t>
        </is>
      </c>
      <c r="C185" s="8" t="inlineStr">
        <is>
          <t>IR 30×35×20</t>
        </is>
      </c>
      <c r="D185" s="10" t="n">
        <v>4600</v>
      </c>
      <c r="E185" s="8" t="inlineStr">
        <is>
          <t>NEEDLE BEARING</t>
        </is>
      </c>
    </row>
    <row r="186">
      <c r="A186" s="8" t="inlineStr">
        <is>
          <t>33040036716</t>
        </is>
      </c>
      <c r="B186" s="8" t="inlineStr">
        <is>
          <t>COLLAR</t>
        </is>
      </c>
      <c r="C186" s="8" t="inlineStr">
        <is>
          <t>IR 32×37×17</t>
        </is>
      </c>
      <c r="D186" s="10" t="n">
        <v>4500</v>
      </c>
      <c r="E186" s="8" t="inlineStr">
        <is>
          <t>NEEDLE BEARING</t>
        </is>
      </c>
    </row>
    <row r="187">
      <c r="A187" s="8" t="inlineStr">
        <is>
          <t>33040036717</t>
        </is>
      </c>
      <c r="B187" s="8" t="inlineStr">
        <is>
          <t>COLLAR</t>
        </is>
      </c>
      <c r="C187" s="8" t="inlineStr">
        <is>
          <t>IR 35×40×20</t>
        </is>
      </c>
      <c r="D187" s="10" t="n">
        <v>5000</v>
      </c>
      <c r="E187" s="8" t="inlineStr">
        <is>
          <t>NEEDLE BEARING</t>
        </is>
      </c>
    </row>
    <row r="188">
      <c r="A188" s="8" t="inlineStr">
        <is>
          <t>33040036718</t>
        </is>
      </c>
      <c r="B188" s="8" t="inlineStr">
        <is>
          <t>COLLAR</t>
        </is>
      </c>
      <c r="C188" s="8" t="inlineStr">
        <is>
          <t>IR 40×45×20</t>
        </is>
      </c>
      <c r="D188" s="10" t="n">
        <v>5500</v>
      </c>
      <c r="E188" s="8" t="inlineStr">
        <is>
          <t>NEEDLE BEARING</t>
        </is>
      </c>
    </row>
    <row r="189">
      <c r="A189" s="8" t="inlineStr">
        <is>
          <t>33040036719</t>
        </is>
      </c>
      <c r="B189" s="8" t="inlineStr">
        <is>
          <t>COLLAR</t>
        </is>
      </c>
      <c r="C189" s="8" t="inlineStr">
        <is>
          <t>IR 45×50×25</t>
        </is>
      </c>
      <c r="D189" s="10" t="n">
        <v>6200</v>
      </c>
      <c r="E189" s="8" t="inlineStr">
        <is>
          <t>NEEDLE BEARING</t>
        </is>
      </c>
    </row>
    <row r="190">
      <c r="A190" s="8" t="inlineStr">
        <is>
          <t>33040036720</t>
        </is>
      </c>
      <c r="B190" s="8" t="inlineStr">
        <is>
          <t>COLLAR</t>
        </is>
      </c>
      <c r="C190" s="8" t="inlineStr">
        <is>
          <t>IR 50×55×25</t>
        </is>
      </c>
      <c r="D190" s="10" t="n">
        <v>6800</v>
      </c>
      <c r="E190" s="8" t="inlineStr">
        <is>
          <t>NEEDLE BEARING</t>
        </is>
      </c>
    </row>
    <row r="191">
      <c r="A191" s="8" t="inlineStr">
        <is>
          <t>40040036801</t>
        </is>
      </c>
      <c r="B191" s="8" t="inlineStr">
        <is>
          <t>STEEL BALL</t>
        </is>
      </c>
      <c r="C191" s="8" t="inlineStr">
        <is>
          <t>1/4" (6.35mm)</t>
        </is>
      </c>
      <c r="D191" s="10" t="n">
        <v>50</v>
      </c>
      <c r="E191" s="8" t="inlineStr">
        <is>
          <t>VALVE</t>
        </is>
      </c>
    </row>
    <row r="192">
      <c r="A192" s="8" t="inlineStr">
        <is>
          <t>40040036802</t>
        </is>
      </c>
      <c r="B192" s="8" t="inlineStr">
        <is>
          <t>STEEL BALL</t>
        </is>
      </c>
      <c r="C192" s="8" t="inlineStr">
        <is>
          <t>5/16" (7.94mm)</t>
        </is>
      </c>
      <c r="D192" s="10" t="n">
        <v>60</v>
      </c>
      <c r="E192" s="8" t="inlineStr">
        <is>
          <t>VALVE</t>
        </is>
      </c>
    </row>
    <row r="193">
      <c r="A193" s="8" t="inlineStr">
        <is>
          <t>40040036803</t>
        </is>
      </c>
      <c r="B193" s="8" t="inlineStr">
        <is>
          <t>STEEL BALL</t>
        </is>
      </c>
      <c r="C193" s="8" t="inlineStr">
        <is>
          <t>3/8" (9.53mm)</t>
        </is>
      </c>
      <c r="D193" s="10" t="n">
        <v>80</v>
      </c>
      <c r="E193" s="8" t="inlineStr">
        <is>
          <t>PUMP CHECK</t>
        </is>
      </c>
    </row>
    <row r="194">
      <c r="A194" s="8" t="inlineStr">
        <is>
          <t>40040036804</t>
        </is>
      </c>
      <c r="B194" s="8" t="inlineStr">
        <is>
          <t>STEEL BALL</t>
        </is>
      </c>
      <c r="C194" s="8" t="inlineStr">
        <is>
          <t>7/16" (11.11mm)</t>
        </is>
      </c>
      <c r="D194" s="10" t="n">
        <v>100</v>
      </c>
      <c r="E194" s="8" t="inlineStr">
        <is>
          <t>PUMP CHECK</t>
        </is>
      </c>
    </row>
    <row r="195">
      <c r="A195" s="8" t="inlineStr">
        <is>
          <t>40040036805</t>
        </is>
      </c>
      <c r="B195" s="8" t="inlineStr">
        <is>
          <t>STEEL BALL</t>
        </is>
      </c>
      <c r="C195" s="8" t="inlineStr">
        <is>
          <t>1/2" (12.7mm)</t>
        </is>
      </c>
      <c r="D195" s="10" t="n">
        <v>120</v>
      </c>
      <c r="E195" s="8" t="inlineStr">
        <is>
          <t>CHECK VALVE</t>
        </is>
      </c>
    </row>
    <row r="196">
      <c r="A196" s="8" t="inlineStr">
        <is>
          <t>40040036806</t>
        </is>
      </c>
      <c r="B196" s="8" t="inlineStr">
        <is>
          <t>STEEL BALL</t>
        </is>
      </c>
      <c r="C196" s="8" t="inlineStr">
        <is>
          <t>5/8" (15.88mm)</t>
        </is>
      </c>
      <c r="D196" s="10" t="n">
        <v>180</v>
      </c>
      <c r="E196" s="8" t="inlineStr">
        <is>
          <t>CHECK VALVE</t>
        </is>
      </c>
    </row>
    <row r="197">
      <c r="A197" s="8" t="inlineStr">
        <is>
          <t>40040036807</t>
        </is>
      </c>
      <c r="B197" s="8" t="inlineStr">
        <is>
          <t>STEEL BALL</t>
        </is>
      </c>
      <c r="C197" s="8" t="inlineStr">
        <is>
          <t>3/4" (19.05mm)</t>
        </is>
      </c>
      <c r="D197" s="10" t="n">
        <v>250</v>
      </c>
      <c r="E197" s="8" t="inlineStr">
        <is>
          <t>REGULATOR</t>
        </is>
      </c>
    </row>
    <row r="198">
      <c r="A198" s="8" t="inlineStr">
        <is>
          <t>40040036808</t>
        </is>
      </c>
      <c r="B198" s="8" t="inlineStr">
        <is>
          <t>STEEL BALL</t>
        </is>
      </c>
      <c r="C198" s="8" t="inlineStr">
        <is>
          <t>7/8" (22.23mm)</t>
        </is>
      </c>
      <c r="D198" s="10" t="n">
        <v>350</v>
      </c>
      <c r="E198" s="8" t="inlineStr">
        <is>
          <t>REGULATOR</t>
        </is>
      </c>
    </row>
    <row r="199">
      <c r="A199" s="8" t="inlineStr">
        <is>
          <t>40040036809</t>
        </is>
      </c>
      <c r="B199" s="8" t="inlineStr">
        <is>
          <t>STEEL BALL</t>
        </is>
      </c>
      <c r="C199" s="8" t="inlineStr">
        <is>
          <t>1" (25.4mm)</t>
        </is>
      </c>
      <c r="D199" s="10" t="n">
        <v>500</v>
      </c>
      <c r="E199" s="8" t="inlineStr">
        <is>
          <t>REGULATOR</t>
        </is>
      </c>
    </row>
    <row r="200">
      <c r="A200" s="8" t="inlineStr">
        <is>
          <t>40040036810</t>
        </is>
      </c>
      <c r="B200" s="8" t="inlineStr">
        <is>
          <t>STEEL BALL</t>
        </is>
      </c>
      <c r="C200" s="8" t="inlineStr">
        <is>
          <t>1-1/4" (31.75mm)</t>
        </is>
      </c>
      <c r="D200" s="10" t="n">
        <v>800</v>
      </c>
      <c r="E200" s="8" t="inlineStr">
        <is>
          <t>SPECIAL</t>
        </is>
      </c>
    </row>
    <row r="201">
      <c r="A201" s="8" t="inlineStr">
        <is>
          <t>66040036901</t>
        </is>
      </c>
      <c r="B201" s="8" t="inlineStr">
        <is>
          <t>O-RING</t>
        </is>
      </c>
      <c r="C201" s="8" t="inlineStr">
        <is>
          <t>P-6 (5.8×1.9)</t>
        </is>
      </c>
      <c r="D201" s="10" t="n">
        <v>200</v>
      </c>
      <c r="E201" s="8" t="inlineStr">
        <is>
          <t>CYLINDER</t>
        </is>
      </c>
    </row>
    <row r="202">
      <c r="A202" s="8" t="inlineStr">
        <is>
          <t>66040036902</t>
        </is>
      </c>
      <c r="B202" s="8" t="inlineStr">
        <is>
          <t>O-RING</t>
        </is>
      </c>
      <c r="C202" s="8" t="inlineStr">
        <is>
          <t>P-8 (7.8×1.9)</t>
        </is>
      </c>
      <c r="D202" s="10" t="n">
        <v>200</v>
      </c>
      <c r="E202" s="8" t="inlineStr">
        <is>
          <t>CYLINDER</t>
        </is>
      </c>
    </row>
    <row r="203">
      <c r="A203" s="8" t="inlineStr">
        <is>
          <t>66040036903</t>
        </is>
      </c>
      <c r="B203" s="8" t="inlineStr">
        <is>
          <t>O-RING</t>
        </is>
      </c>
      <c r="C203" s="8" t="inlineStr">
        <is>
          <t>P-10 (9.8×2.4)</t>
        </is>
      </c>
      <c r="D203" s="10" t="n">
        <v>250</v>
      </c>
      <c r="E203" s="8" t="inlineStr">
        <is>
          <t>CYLINDER</t>
        </is>
      </c>
    </row>
    <row r="204">
      <c r="A204" s="8" t="inlineStr">
        <is>
          <t>66040036904</t>
        </is>
      </c>
      <c r="B204" s="8" t="inlineStr">
        <is>
          <t>O-RING</t>
        </is>
      </c>
      <c r="C204" s="8" t="inlineStr">
        <is>
          <t>P-12 (11.8×2.4)</t>
        </is>
      </c>
      <c r="D204" s="10" t="n">
        <v>250</v>
      </c>
      <c r="E204" s="8" t="inlineStr">
        <is>
          <t>CYLINDER</t>
        </is>
      </c>
    </row>
    <row r="205">
      <c r="A205" s="8" t="inlineStr">
        <is>
          <t>66040036905</t>
        </is>
      </c>
      <c r="B205" s="8" t="inlineStr">
        <is>
          <t>O-RING</t>
        </is>
      </c>
      <c r="C205" s="8" t="inlineStr">
        <is>
          <t>P-14 (13.8×2.4)</t>
        </is>
      </c>
      <c r="D205" s="10" t="n">
        <v>300</v>
      </c>
      <c r="E205" s="8" t="inlineStr">
        <is>
          <t>PUMP</t>
        </is>
      </c>
    </row>
    <row r="206">
      <c r="A206" s="8" t="inlineStr">
        <is>
          <t>66040036906</t>
        </is>
      </c>
      <c r="B206" s="8" t="inlineStr">
        <is>
          <t>O-RING</t>
        </is>
      </c>
      <c r="C206" s="8" t="inlineStr">
        <is>
          <t>P-16 (15.8×2.4)</t>
        </is>
      </c>
      <c r="D206" s="10" t="n">
        <v>300</v>
      </c>
      <c r="E206" s="8" t="inlineStr">
        <is>
          <t>PUMP</t>
        </is>
      </c>
    </row>
    <row r="207">
      <c r="A207" s="8" t="inlineStr">
        <is>
          <t>66040036907</t>
        </is>
      </c>
      <c r="B207" s="8" t="inlineStr">
        <is>
          <t>O-RING</t>
        </is>
      </c>
      <c r="C207" s="8" t="inlineStr">
        <is>
          <t>G-25 (24.4×3.1)</t>
        </is>
      </c>
      <c r="D207" s="10" t="n">
        <v>350</v>
      </c>
      <c r="E207" s="8" t="inlineStr">
        <is>
          <t>PIPE JOINT</t>
        </is>
      </c>
    </row>
    <row r="208">
      <c r="A208" s="8" t="inlineStr">
        <is>
          <t>66040036908</t>
        </is>
      </c>
      <c r="B208" s="8" t="inlineStr">
        <is>
          <t>O-RING</t>
        </is>
      </c>
      <c r="C208" s="8" t="inlineStr">
        <is>
          <t>G-30 (29.4×3.1)</t>
        </is>
      </c>
      <c r="D208" s="10" t="n">
        <v>400</v>
      </c>
      <c r="E208" s="8" t="inlineStr">
        <is>
          <t>PIPE JOINT</t>
        </is>
      </c>
    </row>
    <row r="209">
      <c r="A209" s="8" t="inlineStr">
        <is>
          <t>66040036909</t>
        </is>
      </c>
      <c r="B209" s="8" t="inlineStr">
        <is>
          <t>O-RING</t>
        </is>
      </c>
      <c r="C209" s="8" t="inlineStr">
        <is>
          <t>G-35 (34.4×3.1)</t>
        </is>
      </c>
      <c r="D209" s="10" t="n">
        <v>450</v>
      </c>
      <c r="E209" s="8" t="inlineStr">
        <is>
          <t>PIPE JOINT</t>
        </is>
      </c>
    </row>
    <row r="210">
      <c r="A210" s="8" t="inlineStr">
        <is>
          <t>66040036910</t>
        </is>
      </c>
      <c r="B210" s="8" t="inlineStr">
        <is>
          <t>O-RING</t>
        </is>
      </c>
      <c r="C210" s="8" t="inlineStr">
        <is>
          <t>G-40 (39.4×3.1)</t>
        </is>
      </c>
      <c r="D210" s="10" t="n">
        <v>500</v>
      </c>
      <c r="E210" s="8" t="inlineStr">
        <is>
          <t>FLANGE</t>
        </is>
      </c>
    </row>
    <row r="211">
      <c r="A211" s="8" t="inlineStr">
        <is>
          <t>66040036911</t>
        </is>
      </c>
      <c r="B211" s="8" t="inlineStr">
        <is>
          <t>O-RING</t>
        </is>
      </c>
      <c r="C211" s="8" t="inlineStr">
        <is>
          <t>S-30 (29.7×2.4)</t>
        </is>
      </c>
      <c r="D211" s="10" t="n">
        <v>400</v>
      </c>
      <c r="E211" s="8" t="inlineStr">
        <is>
          <t>SHAFT</t>
        </is>
      </c>
    </row>
    <row r="212">
      <c r="A212" s="8" t="inlineStr">
        <is>
          <t>66040036912</t>
        </is>
      </c>
      <c r="B212" s="8" t="inlineStr">
        <is>
          <t>O-RING</t>
        </is>
      </c>
      <c r="C212" s="8" t="inlineStr">
        <is>
          <t>S-35 (34.7×2.4)</t>
        </is>
      </c>
      <c r="D212" s="10" t="n">
        <v>450</v>
      </c>
      <c r="E212" s="8" t="inlineStr">
        <is>
          <t>SHAFT</t>
        </is>
      </c>
    </row>
    <row r="213">
      <c r="A213" s="8" t="inlineStr">
        <is>
          <t>77040037001</t>
        </is>
      </c>
      <c r="B213" s="8" t="inlineStr">
        <is>
          <t>BUSH</t>
        </is>
      </c>
      <c r="C213" s="8" t="inlineStr">
        <is>
          <t>DU 1010</t>
        </is>
      </c>
      <c r="D213" s="10" t="n">
        <v>1500</v>
      </c>
      <c r="E213" s="8" t="inlineStr">
        <is>
          <t>GUIDE</t>
        </is>
      </c>
    </row>
    <row r="214">
      <c r="A214" s="8" t="inlineStr">
        <is>
          <t>77040037002</t>
        </is>
      </c>
      <c r="B214" s="8" t="inlineStr">
        <is>
          <t>BUSH</t>
        </is>
      </c>
      <c r="C214" s="8" t="inlineStr">
        <is>
          <t>DU 1210</t>
        </is>
      </c>
      <c r="D214" s="10" t="n">
        <v>1600</v>
      </c>
      <c r="E214" s="8" t="inlineStr">
        <is>
          <t>GUIDE</t>
        </is>
      </c>
    </row>
    <row r="215">
      <c r="A215" s="8" t="inlineStr">
        <is>
          <t>77040037003</t>
        </is>
      </c>
      <c r="B215" s="8" t="inlineStr">
        <is>
          <t>BUSH</t>
        </is>
      </c>
      <c r="C215" s="8" t="inlineStr">
        <is>
          <t>DU 1510</t>
        </is>
      </c>
      <c r="D215" s="10" t="n">
        <v>1800</v>
      </c>
      <c r="E215" s="8" t="inlineStr">
        <is>
          <t>GUIDE</t>
        </is>
      </c>
    </row>
    <row r="216">
      <c r="A216" s="8" t="inlineStr">
        <is>
          <t>77040037004</t>
        </is>
      </c>
      <c r="B216" s="8" t="inlineStr">
        <is>
          <t>BUSH</t>
        </is>
      </c>
      <c r="C216" s="8" t="inlineStr">
        <is>
          <t>DU 1512</t>
        </is>
      </c>
      <c r="D216" s="10" t="n">
        <v>2000</v>
      </c>
      <c r="E216" s="8" t="inlineStr">
        <is>
          <t>GUIDE</t>
        </is>
      </c>
    </row>
    <row r="217">
      <c r="A217" s="8" t="inlineStr">
        <is>
          <t>77040037005</t>
        </is>
      </c>
      <c r="B217" s="8" t="inlineStr">
        <is>
          <t>BUSH</t>
        </is>
      </c>
      <c r="C217" s="8" t="inlineStr">
        <is>
          <t>DU 2010</t>
        </is>
      </c>
      <c r="D217" s="10" t="n">
        <v>2200</v>
      </c>
      <c r="E217" s="8" t="inlineStr">
        <is>
          <t>SLIDE</t>
        </is>
      </c>
    </row>
    <row r="218">
      <c r="A218" s="8" t="inlineStr">
        <is>
          <t>77040037006</t>
        </is>
      </c>
      <c r="B218" s="8" t="inlineStr">
        <is>
          <t>BUSH</t>
        </is>
      </c>
      <c r="C218" s="8" t="inlineStr">
        <is>
          <t>DU 2012</t>
        </is>
      </c>
      <c r="D218" s="10" t="n">
        <v>2400</v>
      </c>
      <c r="E218" s="8" t="inlineStr">
        <is>
          <t>SLIDE</t>
        </is>
      </c>
    </row>
    <row r="219">
      <c r="A219" s="8" t="inlineStr">
        <is>
          <t>77040037007</t>
        </is>
      </c>
      <c r="B219" s="8" t="inlineStr">
        <is>
          <t>BUSH</t>
        </is>
      </c>
      <c r="C219" s="8" t="inlineStr">
        <is>
          <t>DU 2015</t>
        </is>
      </c>
      <c r="D219" s="10" t="n">
        <v>2600</v>
      </c>
      <c r="E219" s="8" t="inlineStr">
        <is>
          <t>SLIDE</t>
        </is>
      </c>
    </row>
    <row r="220">
      <c r="A220" s="8" t="inlineStr">
        <is>
          <t>77040037008</t>
        </is>
      </c>
      <c r="B220" s="8" t="inlineStr">
        <is>
          <t>BUSH</t>
        </is>
      </c>
      <c r="C220" s="8" t="inlineStr">
        <is>
          <t>DU 2510</t>
        </is>
      </c>
      <c r="D220" s="10" t="n">
        <v>2800</v>
      </c>
      <c r="E220" s="8" t="inlineStr">
        <is>
          <t>SLIDE</t>
        </is>
      </c>
    </row>
    <row r="221">
      <c r="A221" s="8" t="inlineStr">
        <is>
          <t>77040037009</t>
        </is>
      </c>
      <c r="B221" s="8" t="inlineStr">
        <is>
          <t>BUSH</t>
        </is>
      </c>
      <c r="C221" s="8" t="inlineStr">
        <is>
          <t>DU 2515</t>
        </is>
      </c>
      <c r="D221" s="10" t="n">
        <v>3200</v>
      </c>
      <c r="E221" s="8" t="inlineStr">
        <is>
          <t>PIVOT</t>
        </is>
      </c>
    </row>
    <row r="222">
      <c r="A222" s="8" t="inlineStr">
        <is>
          <t>77040037010</t>
        </is>
      </c>
      <c r="B222" s="8" t="inlineStr">
        <is>
          <t>BUSH</t>
        </is>
      </c>
      <c r="C222" s="8" t="inlineStr">
        <is>
          <t>DU 3010</t>
        </is>
      </c>
      <c r="D222" s="10" t="n">
        <v>3500</v>
      </c>
      <c r="E222" s="8" t="inlineStr">
        <is>
          <t>PIVOT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2026-02-20T11:11:25Z</dcterms:created>
  <dcterms:modified xsi:type="dcterms:W3CDTF">2026-02-20T11:11:25Z</dcterms:modified>
</cp:coreProperties>
</file>